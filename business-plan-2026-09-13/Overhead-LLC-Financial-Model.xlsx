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Acquisition" sheetId="3" state="visible" r:id="rId3"/>
    <sheet name="Base" sheetId="4" state="visible" r:id="rId4"/>
    <sheet name="Downside" sheetId="5" state="visible" r:id="rId5"/>
    <sheet name="Upside" sheetId="6" state="visible" r:id="rId6"/>
    <sheet name="Annual summary" sheetId="7" state="visible" r:id="rId7"/>
  </sheets>
  <definedNames>
    <definedName name="_xlnm._FilterDatabase" localSheetId="3" hidden="1">'Base'!$A$1:$W$37</definedName>
    <definedName name="_xlnm._FilterDatabase" localSheetId="4" hidden="1">'Downside'!$A$1:$W$37</definedName>
    <definedName name="_xlnm._FilterDatabase" localSheetId="5" hidden="1">'Upside'!$A$1:$W$37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675BB"/>
    </font>
    <font>
      <color rgb="00173042"/>
    </font>
  </fonts>
  <fills count="3">
    <fill>
      <patternFill/>
    </fill>
    <fill>
      <patternFill patternType="gray125"/>
    </fill>
    <fill>
      <patternFill patternType="solid">
        <fgColor rgb="001432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12" customWidth="1" min="1" max="1"/>
  </s:cols>
  <s:sheetData>
    <s:row r="1" ht="32" customHeight="1">
      <s:c r="A1" s="1" t="inlineStr">
        <s:is>
          <s:t>Overhead LLC | 36-month planning model</s:t>
        </s:is>
      </s:c>
    </s:row>
    <s:row r="2">
      <s:c r="A2" t="inlineStr">
        <s:is>
          <s:t>General-purpose business plan | September 13, 2026</s:t>
        </s:is>
      </s:c>
    </s:row>
    <s:row r="3">
      <s:c r="A3" t="inlineStr">
        <s:is>
          <s:t>All figures are illustrative assumptions, not actual results.</s:t>
        </s:is>
      </s:c>
    </s:row>
    <s:row r="4">
      <s:c r="A4" t="inlineStr">
        <s:is>
          <s:t>Change blue input values on Assumptions and Acquisition. Formula sheets recalculate in Excel.</s:t>
        </s:is>
      </s:c>
    </s:row>
    <s:row r="5">
      <s:c r="A5" t="inlineStr">
        <s:is>
          <s:t>Month 1 starts with funded execution; months 1-2 have no paid additions.</s:t>
        </s:is>
      </s:c>
    </s:row>
    <s:row r="6">
      <s:c r="A6" t="inlineStr">
        <s:is>
          <s:t>Base, Downside, and Upside use the same operating budget and $175,000 capital scenario.</s:t>
        </s:is>
      </s:c>
    </s:row>
    <s:row r="7">
      <s:c r="A7" t="inlineStr">
        <s:is>
          <s:t>Monthly churn affects opening accounts. New additions contribute half a billed month.</s:t>
        </s:is>
      </s:c>
    </s:row>
    <s:row r="8">
      <s:c r="A8" t="inlineStr">
        <s:is>
          <s:t>Net revenue deducts a 1% refund/credit allowance. Fees use gross charges.</s:t>
        </s:is>
      </s:c>
    </s:row>
    <s:row r="9">
      <s:c r="A9" t="inlineStr">
        <s:is>
          <s:t>No debt, capex, working capital lag, historical assets, or existing balances are included.</s:t>
        </s:is>
      </s:c>
    </s:row>
    <s:row r="10">
      <s:c r="A10" t="inlineStr">
        <s:is>
          <s:t>The 25% annual tax reserve is a planning assumption, not an LLC tax determination.</s:t>
        </s:is>
      </s:c>
    </s:row>
    <s:row r="11">
      <s:c r="A11" t="inlineStr">
        <s:is>
          <s:t>Model values were independently calculated in Python and exported to the companion CSV/JSON.</s:t>
        </s:is>
      </s:c>
    </s:row>
    <s:row r="12">
      <s:c r="A12" t="inlineStr">
        <s:is>
          <s:t>Formula cells may show blank previews until opened in Excel or another recalculating spreadsheet app.</s:t>
        </s:is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3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5" customWidth="1" min="1" max="1"/>
    <s:col width="19" customWidth="1" min="2" max="2"/>
    <s:col width="65" customWidth="1" min="3" max="3"/>
    <s:col width="19" customWidth="1" min="4" max="4"/>
  </s:cols>
  <s:sheetData>
    <s:row r="1" ht="32" customHeight="1">
      <s:c r="A1" s="1" t="inlineStr">
        <s:is>
          <s:t>Input</s:t>
        </s:is>
      </s:c>
      <s:c r="B1" s="1" t="inlineStr">
        <s:is>
          <s:t>Value</s:t>
        </s:is>
      </s:c>
      <s:c r="C1" s="1" t="inlineStr">
        <s:is>
          <s:t>Basis</s:t>
        </s:is>
      </s:c>
      <s:c r="D1" s="1" t="n"/>
    </s:row>
    <s:row r="2">
      <s:c r="A2" t="inlineStr">
        <s:is>
          <s:t>Opening capital</s:t>
        </s:is>
      </s:c>
      <s:c r="B2" s="2" t="n">
        <s:v>175000</s:v>
      </s:c>
      <s:c r="C2" t="inlineStr">
        <s:is>
          <s:t>Illustrative new contribution; not existing company cash</s:t>
        </s:is>
      </s:c>
    </s:row>
    <s:row r="3">
      <s:c r="A3" t="inlineStr">
        <s:is>
          <s:t>Silver monthly price</s:t>
        </s:is>
      </s:c>
      <s:c r="B3" s="2" t="n">
        <s:v>59</s:v>
      </s:c>
      <s:c r="C3" t="inlineStr">
        <s:is>
          <s:t>Published</s:t>
        </s:is>
      </s:c>
    </s:row>
    <s:row r="4">
      <s:c r="A4" t="inlineStr">
        <s:is>
          <s:t>Gold monthly price</s:t>
        </s:is>
      </s:c>
      <s:c r="B4" s="2" t="n">
        <s:v>129</s:v>
      </s:c>
      <s:c r="C4" t="inlineStr">
        <s:is>
          <s:t>Published</s:t>
        </s:is>
      </s:c>
    </s:row>
    <s:row r="5">
      <s:c r="A5" t="inlineStr">
        <s:is>
          <s:t>Black monthly price</s:t>
        </s:is>
      </s:c>
      <s:c r="B5" s="2" t="n">
        <s:v>299</s:v>
      </s:c>
      <s:c r="C5" t="inlineStr">
        <s:is>
          <s:t>Published</s:t>
        </s:is>
      </s:c>
    </s:row>
    <s:row r="6">
      <s:c r="A6" t="inlineStr">
        <s:is>
          <s:t>Silver mix</s:t>
        </s:is>
      </s:c>
      <s:c r="B6" s="3" t="n">
        <s:v>0.4</s:v>
      </s:c>
      <s:c r="C6" t="inlineStr">
        <s:is>
          <s:t>Assumption</s:t>
        </s:is>
      </s:c>
    </s:row>
    <s:row r="7">
      <s:c r="A7" t="inlineStr">
        <s:is>
          <s:t>Gold mix</s:t>
        </s:is>
      </s:c>
      <s:c r="B7" s="3" t="n">
        <s:v>0.45</s:v>
      </s:c>
      <s:c r="C7" t="inlineStr">
        <s:is>
          <s:t>Assumption</s:t>
        </s:is>
      </s:c>
    </s:row>
    <s:row r="8">
      <s:c r="A8" t="inlineStr">
        <s:is>
          <s:t>Black mix</s:t>
        </s:is>
      </s:c>
      <s:c r="B8" s="3" t="n">
        <s:v>0.15</s:v>
      </s:c>
      <s:c r="C8" t="inlineStr">
        <s:is>
          <s:t>Assumption</s:t>
        </s:is>
      </s:c>
    </s:row>
    <s:row r="9">
      <s:c r="A9" t="inlineStr">
        <s:is>
          <s:t>Blended ARPA</s:t>
        </s:is>
      </s:c>
      <s:c r="B9" s="4">
        <s:f>SUMPRODUCT(B3:B5,B6:B8)</s:f>
        <s:v>126.5</s:v>
      </s:c>
      <s:c r="C9" t="inlineStr">
        <s:is>
          <s:t>Calculated</s:t>
        </s:is>
      </s:c>
    </s:row>
    <s:row r="10">
      <s:c r="A10" t="inlineStr">
        <s:is>
          <s:t>Base monthly churn</s:t>
        </s:is>
      </s:c>
      <s:c r="B10" s="3" t="n">
        <s:v>0.02</s:v>
      </s:c>
      <s:c r="C10" t="inlineStr">
        <s:is>
          <s:t>Assumption</s:t>
        </s:is>
      </s:c>
    </s:row>
    <s:row r="11">
      <s:c r="A11" t="inlineStr">
        <s:is>
          <s:t>Refunds/credits rate</s:t>
        </s:is>
      </s:c>
      <s:c r="B11" s="3" t="n">
        <s:v>0.01</s:v>
      </s:c>
      <s:c r="C11" t="inlineStr">
        <s:is>
          <s:t>Assumption</s:t>
        </s:is>
      </s:c>
    </s:row>
    <s:row r="12">
      <s:c r="A12" t="inlineStr">
        <s:is>
          <s:t>Processing + Billing rate</s:t>
        </s:is>
      </s:c>
      <s:c r="B12" s="3" t="n">
        <s:v>0.036</s:v>
      </s:c>
      <s:c r="C12" t="inlineStr">
        <s:is>
          <s:t>2.9% domestic card + 0.7% Stripe Billing</s:t>
        </s:is>
      </s:c>
    </s:row>
    <s:row r="13">
      <s:c r="A13" t="inlineStr">
        <s:is>
          <s:t>Fixed payment fee</s:t>
        </s:is>
      </s:c>
      <s:c r="B13" s="2" t="n">
        <s:v>0.3</s:v>
      </s:c>
      <s:c r="C13" t="inlineStr">
        <s:is>
          <s:t>Per billed workspace-month approximation</s:t>
        </s:is>
      </s:c>
    </s:row>
    <s:row r="14">
      <s:c r="A14" t="inlineStr">
        <s:is>
          <s:t>Infrastructure / billable month</s:t>
        </s:is>
      </s:c>
      <s:c r="B14" s="2" t="n">
        <s:v>5</s:v>
      </s:c>
      <s:c r="C14" t="inlineStr">
        <s:is>
          <s:t>Assumption</s:t>
        </s:is>
      </s:c>
    </s:row>
    <s:row r="15">
      <s:c r="A15" t="inlineStr">
        <s:is>
          <s:t>Support / billable month</s:t>
        </s:is>
      </s:c>
      <s:c r="B15" s="2" t="n">
        <s:v>10</s:v>
      </s:c>
      <s:c r="C15" t="inlineStr">
        <s:is>
          <s:t>Assumption</s:t>
        </s:is>
      </s:c>
    </s:row>
    <s:row r="16">
      <s:c r="A16" t="inlineStr">
        <s:is>
          <s:t>Onboarding / new paid workspace</s:t>
        </s:is>
      </s:c>
      <s:c r="B16" s="2" t="n">
        <s:v>60</s:v>
      </s:c>
      <s:c r="C16" t="inlineStr">
        <s:is>
          <s:t>Assumption</s:t>
        </s:is>
      </s:c>
    </s:row>
    <s:row r="17">
      <s:c r="A17" t="inlineStr">
        <s:is>
          <s:t>Tax reserve</s:t>
        </s:is>
      </s:c>
      <s:c r="B17" s="3" t="n">
        <s:v>0.25</s:v>
      </s:c>
      <s:c r="C17" t="inlineStr">
        <s:is>
          <s:t>Applied to positive annual operating income; paid at year-end</s:t>
        </s:is>
      </s:c>
    </s:row>
    <s:row r="18">
      <s:c r="A18" t="inlineStr">
        <s:is>
          <s:t>Minimum cash reserve</s:t>
        </s:is>
      </s:c>
      <s:c r="B18" s="2" t="n">
        <s:v>30000</s:v>
      </s:c>
      <s:c r="C18" t="inlineStr">
        <s:is>
          <s:t>Management target</s:t>
        </s:is>
      </s:c>
    </s:row>
    <s:row r="19">
      <s:c r="A19" t="inlineStr">
        <s:is>
          <s:t>Downside acquisition factor</s:t>
        </s:is>
      </s:c>
      <s:c r="B19" s="3" t="n">
        <s:v>0.6</s:v>
      </s:c>
      <s:c r="C19" t="inlineStr">
        <s:is>
          <s:t>Assumption</s:t>
        </s:is>
      </s:c>
    </s:row>
    <s:row r="20">
      <s:c r="A20" t="inlineStr">
        <s:is>
          <s:t>Downside churn</s:t>
        </s:is>
      </s:c>
      <s:c r="B20" s="3" t="n">
        <s:v>0.035</s:v>
      </s:c>
      <s:c r="C20" t="inlineStr">
        <s:is>
          <s:t>Assumption</s:t>
        </s:is>
      </s:c>
    </s:row>
    <s:row r="21">
      <s:c r="A21" t="inlineStr">
        <s:is>
          <s:t>Downside price factor</s:t>
        </s:is>
      </s:c>
      <s:c r="B21" s="3" t="n">
        <s:v>0.9</s:v>
      </s:c>
      <s:c r="C21" t="inlineStr">
        <s:is>
          <s:t>Assumption</s:t>
        </s:is>
      </s:c>
    </s:row>
    <s:row r="22">
      <s:c r="A22" t="inlineStr">
        <s:is>
          <s:t>Upside acquisition factor</s:t>
        </s:is>
      </s:c>
      <s:c r="B22" s="3" t="n">
        <s:v>1.4</s:v>
      </s:c>
      <s:c r="C22" t="inlineStr">
        <s:is>
          <s:t>Assumption</s:t>
        </s:is>
      </s:c>
    </s:row>
    <s:row r="23">
      <s:c r="A23" t="inlineStr">
        <s:is>
          <s:t>Upside churn</s:t>
        </s:is>
      </s:c>
      <s:c r="B23" s="3" t="n">
        <s:v>0.015</s:v>
      </s:c>
      <s:c r="C23" t="inlineStr">
        <s:is>
          <s:t>Assumption</s:t>
        </s:is>
      </s:c>
    </s:row>
    <s:row r="24"/>
    <s:row r="25">
      <s:c r="A25" t="inlineStr">
        <s:is>
          <s:t>Annual budget</s:t>
        </s:is>
      </s:c>
      <s:c r="B25" t="inlineStr">
        <s:is>
          <s:t>Year 1</s:t>
        </s:is>
      </s:c>
      <s:c r="C25" t="inlineStr">
        <s:is>
          <s:t>Year 2</s:t>
        </s:is>
      </s:c>
      <s:c r="D25" t="inlineStr">
        <s:is>
          <s:t>Year 3</s:t>
        </s:is>
      </s:c>
    </s:row>
    <s:row r="26">
      <s:c r="A26" t="inlineStr">
        <s:is>
          <s:t>Product</s:t>
        </s:is>
      </s:c>
      <s:c r="B26" s="2" t="n">
        <s:v>48000</s:v>
      </s:c>
      <s:c r="C26" s="2" t="n">
        <s:v>84000</s:v>
      </s:c>
      <s:c r="D26" s="2" t="n">
        <s:v>120000</s:v>
      </s:c>
    </s:row>
    <s:row r="27">
      <s:c r="A27" t="inlineStr">
        <s:is>
          <s:t>Founder</s:t>
        </s:is>
      </s:c>
      <s:c r="B27" s="2" t="n">
        <s:v>36000</s:v>
      </s:c>
      <s:c r="C27" s="2" t="n">
        <s:v>48000</s:v>
      </s:c>
      <s:c r="D27" s="2" t="n">
        <s:v>60000</s:v>
      </s:c>
    </s:row>
    <s:row r="28">
      <s:c r="A28" t="inlineStr">
        <s:is>
          <s:t>Marketing</s:t>
        </s:is>
      </s:c>
      <s:c r="B28" s="2" t="n">
        <s:v>18000</s:v>
      </s:c>
      <s:c r="C28" s="2" t="n">
        <s:v>36000</s:v>
      </s:c>
      <s:c r="D28" s="2" t="n">
        <s:v>60000</s:v>
      </s:c>
    </s:row>
    <s:row r="29">
      <s:c r="A29" t="inlineStr">
        <s:is>
          <s:t>General</s:t>
        </s:is>
      </s:c>
      <s:c r="B29" s="2" t="n">
        <s:v>12000</s:v>
      </s:c>
      <s:c r="C29" s="2" t="n">
        <s:v>18000</s:v>
      </s:c>
      <s:c r="D29" s="2" t="n">
        <s:v>24000</s:v>
      </s:c>
    </s:row>
    <s:row r="30">
      <s:c r="A30" t="inlineStr">
        <s:is>
          <s:t>Monthly fixed opex</s:t>
        </s:is>
      </s:c>
      <s:c r="B30" s="4">
        <s:f>SUM(B26:B29)/12</s:f>
        <s:v>9500.0</s:v>
      </s:c>
      <s:c r="C30" s="4">
        <s:f>SUM(C26:C29)/12</s:f>
        <s:v>15500.0</s:v>
      </s:c>
      <s:c r="D30" s="4">
        <s:f>SUM(D26:D29)/12</s:f>
        <s:v>22000.0</s:v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C37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9" customWidth="1" min="1" max="1"/>
    <s:col width="19" customWidth="1" min="2" max="2"/>
    <s:col width="19" customWidth="1" min="3" max="3"/>
  </s:cols>
  <s:sheetData>
    <s:row r="1" ht="32" customHeight="1">
      <s:c r="A1" s="1" t="inlineStr">
        <s:is>
          <s:t>Planning month</s:t>
        </s:is>
      </s:c>
      <s:c r="B1" s="1" t="inlineStr">
        <s:is>
          <s:t>Base gross new paid</s:t>
        </s:is>
      </s:c>
      <s:c r="C1" s="1" t="inlineStr">
        <s:is>
          <s:t>Launch expense</s:t>
        </s:is>
      </s:c>
    </s:row>
    <s:row r="2">
      <s:c r="A2" s="2" t="n">
        <s:v>1</s:v>
      </s:c>
      <s:c r="B2" s="2" t="n">
        <s:v>0</s:v>
      </s:c>
      <s:c r="C2" s="2" t="n">
        <s:v>10000</s:v>
      </s:c>
    </s:row>
    <s:row r="3">
      <s:c r="A3" s="2" t="n">
        <s:v>2</s:v>
      </s:c>
      <s:c r="B3" s="2" t="n">
        <s:v>0</s:v>
      </s:c>
      <s:c r="C3" s="2" t="n">
        <s:v>5000</s:v>
      </s:c>
    </s:row>
    <s:row r="4">
      <s:c r="A4" s="2" t="n">
        <s:v>3</s:v>
      </s:c>
      <s:c r="B4" s="2" t="n">
        <s:v>3</s:v>
      </s:c>
      <s:c r="C4" s="2" t="n">
        <s:v>0</s:v>
      </s:c>
    </s:row>
    <s:row r="5">
      <s:c r="A5" s="2" t="n">
        <s:v>4</s:v>
      </s:c>
      <s:c r="B5" s="2" t="n">
        <s:v>5</s:v>
      </s:c>
      <s:c r="C5" s="2" t="n">
        <s:v>0</s:v>
      </s:c>
    </s:row>
    <s:row r="6">
      <s:c r="A6" s="2" t="n">
        <s:v>5</s:v>
      </s:c>
      <s:c r="B6" s="2" t="n">
        <s:v>7</s:v>
      </s:c>
      <s:c r="C6" s="2" t="n">
        <s:v>0</s:v>
      </s:c>
    </s:row>
    <s:row r="7">
      <s:c r="A7" s="2" t="n">
        <s:v>6</s:v>
      </s:c>
      <s:c r="B7" s="2" t="n">
        <s:v>9</s:v>
      </s:c>
      <s:c r="C7" s="2" t="n">
        <s:v>0</s:v>
      </s:c>
    </s:row>
    <s:row r="8">
      <s:c r="A8" s="2" t="n">
        <s:v>7</s:v>
      </s:c>
      <s:c r="B8" s="2" t="n">
        <s:v>11</s:v>
      </s:c>
      <s:c r="C8" s="2" t="n">
        <s:v>0</s:v>
      </s:c>
    </s:row>
    <s:row r="9">
      <s:c r="A9" s="2" t="n">
        <s:v>8</s:v>
      </s:c>
      <s:c r="B9" s="2" t="n">
        <s:v>13</s:v>
      </s:c>
      <s:c r="C9" s="2" t="n">
        <s:v>0</s:v>
      </s:c>
    </s:row>
    <s:row r="10">
      <s:c r="A10" s="2" t="n">
        <s:v>9</s:v>
      </s:c>
      <s:c r="B10" s="2" t="n">
        <s:v>15</s:v>
      </s:c>
      <s:c r="C10" s="2" t="n">
        <s:v>0</s:v>
      </s:c>
    </s:row>
    <s:row r="11">
      <s:c r="A11" s="2" t="n">
        <s:v>10</s:v>
      </s:c>
      <s:c r="B11" s="2" t="n">
        <s:v>17</s:v>
      </s:c>
      <s:c r="C11" s="2" t="n">
        <s:v>0</s:v>
      </s:c>
    </s:row>
    <s:row r="12">
      <s:c r="A12" s="2" t="n">
        <s:v>11</s:v>
      </s:c>
      <s:c r="B12" s="2" t="n">
        <s:v>19</s:v>
      </s:c>
      <s:c r="C12" s="2" t="n">
        <s:v>0</s:v>
      </s:c>
    </s:row>
    <s:row r="13">
      <s:c r="A13" s="2" t="n">
        <s:v>12</s:v>
      </s:c>
      <s:c r="B13" s="2" t="n">
        <s:v>21</s:v>
      </s:c>
      <s:c r="C13" s="2" t="n">
        <s:v>0</s:v>
      </s:c>
    </s:row>
    <s:row r="14">
      <s:c r="A14" s="2" t="n">
        <s:v>13</s:v>
      </s:c>
      <s:c r="B14" s="2" t="n">
        <s:v>25</s:v>
      </s:c>
      <s:c r="C14" s="2" t="n">
        <s:v>0</s:v>
      </s:c>
    </s:row>
    <s:row r="15">
      <s:c r="A15" s="2" t="n">
        <s:v>14</s:v>
      </s:c>
      <s:c r="B15" s="2" t="n">
        <s:v>25</s:v>
      </s:c>
      <s:c r="C15" s="2" t="n">
        <s:v>0</s:v>
      </s:c>
    </s:row>
    <s:row r="16">
      <s:c r="A16" s="2" t="n">
        <s:v>15</s:v>
      </s:c>
      <s:c r="B16" s="2" t="n">
        <s:v>25</s:v>
      </s:c>
      <s:c r="C16" s="2" t="n">
        <s:v>0</s:v>
      </s:c>
    </s:row>
    <s:row r="17">
      <s:c r="A17" s="2" t="n">
        <s:v>16</s:v>
      </s:c>
      <s:c r="B17" s="2" t="n">
        <s:v>25</s:v>
      </s:c>
      <s:c r="C17" s="2" t="n">
        <s:v>0</s:v>
      </s:c>
    </s:row>
    <s:row r="18">
      <s:c r="A18" s="2" t="n">
        <s:v>17</s:v>
      </s:c>
      <s:c r="B18" s="2" t="n">
        <s:v>25</s:v>
      </s:c>
      <s:c r="C18" s="2" t="n">
        <s:v>0</s:v>
      </s:c>
    </s:row>
    <s:row r="19">
      <s:c r="A19" s="2" t="n">
        <s:v>18</s:v>
      </s:c>
      <s:c r="B19" s="2" t="n">
        <s:v>25</s:v>
      </s:c>
      <s:c r="C19" s="2" t="n">
        <s:v>0</s:v>
      </s:c>
    </s:row>
    <s:row r="20">
      <s:c r="A20" s="2" t="n">
        <s:v>19</s:v>
      </s:c>
      <s:c r="B20" s="2" t="n">
        <s:v>25</s:v>
      </s:c>
      <s:c r="C20" s="2" t="n">
        <s:v>0</s:v>
      </s:c>
    </s:row>
    <s:row r="21">
      <s:c r="A21" s="2" t="n">
        <s:v>20</s:v>
      </s:c>
      <s:c r="B21" s="2" t="n">
        <s:v>25</s:v>
      </s:c>
      <s:c r="C21" s="2" t="n">
        <s:v>0</s:v>
      </s:c>
    </s:row>
    <s:row r="22">
      <s:c r="A22" s="2" t="n">
        <s:v>21</s:v>
      </s:c>
      <s:c r="B22" s="2" t="n">
        <s:v>25</s:v>
      </s:c>
      <s:c r="C22" s="2" t="n">
        <s:v>0</s:v>
      </s:c>
    </s:row>
    <s:row r="23">
      <s:c r="A23" s="2" t="n">
        <s:v>22</s:v>
      </s:c>
      <s:c r="B23" s="2" t="n">
        <s:v>25</s:v>
      </s:c>
      <s:c r="C23" s="2" t="n">
        <s:v>0</s:v>
      </s:c>
    </s:row>
    <s:row r="24">
      <s:c r="A24" s="2" t="n">
        <s:v>23</s:v>
      </s:c>
      <s:c r="B24" s="2" t="n">
        <s:v>25</s:v>
      </s:c>
      <s:c r="C24" s="2" t="n">
        <s:v>0</s:v>
      </s:c>
    </s:row>
    <s:row r="25">
      <s:c r="A25" s="2" t="n">
        <s:v>24</s:v>
      </s:c>
      <s:c r="B25" s="2" t="n">
        <s:v>25</s:v>
      </s:c>
      <s:c r="C25" s="2" t="n">
        <s:v>0</s:v>
      </s:c>
    </s:row>
    <s:row r="26">
      <s:c r="A26" s="2" t="n">
        <s:v>25</s:v>
      </s:c>
      <s:c r="B26" s="2" t="n">
        <s:v>40</s:v>
      </s:c>
      <s:c r="C26" s="2" t="n">
        <s:v>0</s:v>
      </s:c>
    </s:row>
    <s:row r="27">
      <s:c r="A27" s="2" t="n">
        <s:v>26</s:v>
      </s:c>
      <s:c r="B27" s="2" t="n">
        <s:v>40</s:v>
      </s:c>
      <s:c r="C27" s="2" t="n">
        <s:v>0</s:v>
      </s:c>
    </s:row>
    <s:row r="28">
      <s:c r="A28" s="2" t="n">
        <s:v>27</s:v>
      </s:c>
      <s:c r="B28" s="2" t="n">
        <s:v>40</s:v>
      </s:c>
      <s:c r="C28" s="2" t="n">
        <s:v>0</s:v>
      </s:c>
    </s:row>
    <s:row r="29">
      <s:c r="A29" s="2" t="n">
        <s:v>28</s:v>
      </s:c>
      <s:c r="B29" s="2" t="n">
        <s:v>40</s:v>
      </s:c>
      <s:c r="C29" s="2" t="n">
        <s:v>0</s:v>
      </s:c>
    </s:row>
    <s:row r="30">
      <s:c r="A30" s="2" t="n">
        <s:v>29</s:v>
      </s:c>
      <s:c r="B30" s="2" t="n">
        <s:v>40</s:v>
      </s:c>
      <s:c r="C30" s="2" t="n">
        <s:v>0</s:v>
      </s:c>
    </s:row>
    <s:row r="31">
      <s:c r="A31" s="2" t="n">
        <s:v>30</s:v>
      </s:c>
      <s:c r="B31" s="2" t="n">
        <s:v>40</s:v>
      </s:c>
      <s:c r="C31" s="2" t="n">
        <s:v>0</s:v>
      </s:c>
    </s:row>
    <s:row r="32">
      <s:c r="A32" s="2" t="n">
        <s:v>31</s:v>
      </s:c>
      <s:c r="B32" s="2" t="n">
        <s:v>40</s:v>
      </s:c>
      <s:c r="C32" s="2" t="n">
        <s:v>0</s:v>
      </s:c>
    </s:row>
    <s:row r="33">
      <s:c r="A33" s="2" t="n">
        <s:v>32</s:v>
      </s:c>
      <s:c r="B33" s="2" t="n">
        <s:v>40</s:v>
      </s:c>
      <s:c r="C33" s="2" t="n">
        <s:v>0</s:v>
      </s:c>
    </s:row>
    <s:row r="34">
      <s:c r="A34" s="2" t="n">
        <s:v>33</s:v>
      </s:c>
      <s:c r="B34" s="2" t="n">
        <s:v>40</s:v>
      </s:c>
      <s:c r="C34" s="2" t="n">
        <s:v>0</s:v>
      </s:c>
    </s:row>
    <s:row r="35">
      <s:c r="A35" s="2" t="n">
        <s:v>34</s:v>
      </s:c>
      <s:c r="B35" s="2" t="n">
        <s:v>40</s:v>
      </s:c>
      <s:c r="C35" s="2" t="n">
        <s:v>0</s:v>
      </s:c>
    </s:row>
    <s:row r="36">
      <s:c r="A36" s="2" t="n">
        <s:v>35</s:v>
      </s:c>
      <s:c r="B36" s="2" t="n">
        <s:v>40</s:v>
      </s:c>
      <s:c r="C36" s="2" t="n">
        <s:v>0</s:v>
      </s:c>
    </s:row>
    <s:row r="37">
      <s:c r="A37" s="2" t="n">
        <s:v>36</s:v>
      </s:c>
      <s:c r="B37" s="2" t="n">
        <s:v>40</s:v>
      </s:c>
      <s:c r="C37" s="2" t="n">
        <s:v>0</s:v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 fitToPage="1"/>
  </s:sheetPr>
  <s:dimension ref="A1:W37"/>
  <s:sheetViews>
    <s:sheetView workbookViewId="0">
      <s:pane xSplit="1" ySplit="1" topLeftCell="B2" activePane="bottomRight" state="frozen"/>
      <s:selection pane="topRight"/>
      <s:selection pane="bottomLeft"/>
      <s:selection pane="bottomRight"/>
      <s:selection pane="bottomLeft"/>
      <s:selection pane="bottomRight" activeCell="A1" sqref="A1"/>
    </s:sheetView>
  </s:sheetViews>
  <s:sheetFormatPr baseColWidth="8" defaultRowHeight="15"/>
  <s:cols>
    <s:col width="19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  <s:col width="19" customWidth="1" min="10" max="10"/>
    <s:col width="19" customWidth="1" min="11" max="11"/>
    <s:col width="19" customWidth="1" min="12" max="12"/>
    <s:col width="19" customWidth="1" min="13" max="13"/>
    <s:col width="19" customWidth="1" min="14" max="14"/>
    <s:col width="19" customWidth="1" min="15" max="15"/>
    <s:col width="19" customWidth="1" min="16" max="16"/>
    <s:col width="19" customWidth="1" min="17" max="17"/>
    <s:col width="19" customWidth="1" min="18" max="18"/>
    <s:col width="19" customWidth="1" min="19" max="19"/>
    <s:col width="19" customWidth="1" min="20" max="20"/>
    <s:col width="19" customWidth="1" min="21" max="21"/>
    <s:col width="19" customWidth="1" min="22" max="22"/>
    <s:col width="19" customWidth="1" min="23" max="23"/>
  </s:cols>
  <s:sheetData>
    <s:row r="1" ht="32" customHeight="1">
      <s:c r="A1" s="1" t="inlineStr">
        <s:is>
          <s:t>Month</s:t>
        </s:is>
      </s:c>
      <s:c r="B1" s="1" t="inlineStr">
        <s:is>
          <s:t>Year</s:t>
        </s:is>
      </s:c>
      <s:c r="C1" s="1" t="inlineStr">
        <s:is>
          <s:t>Opening paid</s:t>
        </s:is>
      </s:c>
      <s:c r="D1" s="1" t="inlineStr">
        <s:is>
          <s:t>Churned</s:t>
        </s:is>
      </s:c>
      <s:c r="E1" s="1" t="inlineStr">
        <s:is>
          <s:t>New paid</s:t>
        </s:is>
      </s:c>
      <s:c r="F1" s="1" t="inlineStr">
        <s:is>
          <s:t>Ending paid</s:t>
        </s:is>
      </s:c>
      <s:c r="G1" s="1" t="inlineStr">
        <s:is>
          <s:t>Billed equivalent</s:t>
        </s:is>
      </s:c>
      <s:c r="H1" s="1" t="inlineStr">
        <s:is>
          <s:t>Gross charges</s:t>
        </s:is>
      </s:c>
      <s:c r="I1" s="1" t="inlineStr">
        <s:is>
          <s:t>Credits/refunds</s:t>
        </s:is>
      </s:c>
      <s:c r="J1" s="1" t="inlineStr">
        <s:is>
          <s:t>Net revenue</s:t>
        </s:is>
      </s:c>
      <s:c r="K1" s="1" t="inlineStr">
        <s:is>
          <s:t>Payment fees</s:t>
        </s:is>
      </s:c>
      <s:c r="L1" s="1" t="inlineStr">
        <s:is>
          <s:t>Service delivery</s:t>
        </s:is>
      </s:c>
      <s:c r="M1" s="1" t="inlineStr">
        <s:is>
          <s:t>Onboarding</s:t>
        </s:is>
      </s:c>
      <s:c r="N1" s="1" t="inlineStr">
        <s:is>
          <s:t>Total COGS</s:t>
        </s:is>
      </s:c>
      <s:c r="O1" s="1" t="inlineStr">
        <s:is>
          <s:t>Gross profit</s:t>
        </s:is>
      </s:c>
      <s:c r="P1" s="1" t="inlineStr">
        <s:is>
          <s:t>Fixed opex</s:t>
        </s:is>
      </s:c>
      <s:c r="Q1" s="1" t="inlineStr">
        <s:is>
          <s:t>Launch costs</s:t>
        </s:is>
      </s:c>
      <s:c r="R1" s="1" t="inlineStr">
        <s:is>
          <s:t>Operating profit</s:t>
        </s:is>
      </s:c>
      <s:c r="S1" s="1" t="inlineStr">
        <s:is>
          <s:t>Tax reserve</s:t>
        </s:is>
      </s:c>
      <s:c r="T1" s="1" t="inlineStr">
        <s:is>
          <s:t>Net income</s:t>
        </s:is>
      </s:c>
      <s:c r="U1" s="1" t="inlineStr">
        <s:is>
          <s:t>Ending cash</s:t>
        </s:is>
      </s:c>
      <s:c r="V1" s="1" t="inlineStr">
        <s:is>
          <s:t>Exit MRR</s:t>
        </s:is>
      </s:c>
      <s:c r="W1" s="1" t="inlineStr">
        <s:is>
          <s:t>Exit ARR</s:t>
        </s:is>
      </s:c>
    </s:row>
    <s:row r="2">
      <s:c r="A2" s="2" t="n">
        <s:v>1</s:v>
      </s:c>
      <s:c r="B2" s="4">
        <s:f>INT((A2-1)/12)+1</s:f>
        <s:v>1</s:v>
      </s:c>
      <s:c r="C2" s="5">
        <s:f>0</s:f>
        <s:v>0</s:v>
      </s:c>
      <s:c r="D2" s="5">
        <s:f>C2*Assumptions!$B$10</s:f>
        <s:v>0.0</s:v>
      </s:c>
      <s:c r="E2" s="5">
        <s:f>Acquisition!B2*1</s:f>
        <s:v>0</s:v>
      </s:c>
      <s:c r="F2" s="5">
        <s:f>C2-D2+E2</s:f>
        <s:v>0.0</s:v>
      </s:c>
      <s:c r="G2" s="5">
        <s:f>C2-D2+E2/2</s:f>
        <s:v>0.0</s:v>
      </s:c>
      <s:c r="H2" s="5">
        <s:f>G2*Assumptions!$B$9</s:f>
        <s:v>0.0</s:v>
      </s:c>
      <s:c r="I2" s="5">
        <s:f>H2*Assumptions!$B$11</s:f>
        <s:v>0.0</s:v>
      </s:c>
      <s:c r="J2" s="5">
        <s:f>H2-I2</s:f>
        <s:v>0.0</s:v>
      </s:c>
      <s:c r="K2" s="5">
        <s:f>H2*Assumptions!$B$12+G2*Assumptions!$B$13</s:f>
        <s:v>0.0</s:v>
      </s:c>
      <s:c r="L2" s="5">
        <s:f>G2*(Assumptions!$B$14+Assumptions!$B$15)</s:f>
        <s:v>0.0</s:v>
      </s:c>
      <s:c r="M2" s="5">
        <s:f>E2*Assumptions!$B$16</s:f>
        <s:v>0</s:v>
      </s:c>
      <s:c r="N2" s="5">
        <s:f>SUM(K2:M2)</s:f>
        <s:v>0.0</s:v>
      </s:c>
      <s:c r="O2" s="5">
        <s:f>J2-N2</s:f>
        <s:v>0.0</s:v>
      </s:c>
      <s:c r="P2" s="5">
        <s:f>INDEX(Assumptions!$B$30:$D$30,1,B2)</s:f>
        <s:v>9500.0</s:v>
      </s:c>
      <s:c r="Q2" s="5">
        <s:f>Acquisition!C2</s:f>
        <s:v>10000</s:v>
      </s:c>
      <s:c r="R2" s="5">
        <s:f>O2-P2-Q2</s:f>
        <s:v>-19500.0</s:v>
      </s:c>
      <s:c r="S2" s="5">
        <s:f>0</s:f>
        <s:v>0</s:v>
      </s:c>
      <s:c r="T2" s="5">
        <s:f>R2-S2</s:f>
        <s:v>-19500.0</s:v>
      </s:c>
      <s:c r="U2" s="5">
        <s:f>Assumptions!$B$2+T2</s:f>
        <s:v>155500.0</s:v>
      </s:c>
      <s:c r="V2" s="5">
        <s:f>F2*Assumptions!$B$9</s:f>
        <s:v>0.0</s:v>
      </s:c>
      <s:c r="W2" s="5">
        <s:f>V2*12</s:f>
        <s:v>0.0</s:v>
      </s:c>
    </s:row>
    <s:row r="3">
      <s:c r="A3" s="2" t="n">
        <s:v>2</s:v>
      </s:c>
      <s:c r="B3" s="4">
        <s:f>INT((A3-1)/12)+1</s:f>
        <s:v>1</s:v>
      </s:c>
      <s:c r="C3" s="5">
        <s:f>F2</s:f>
        <s:v>0.0</s:v>
      </s:c>
      <s:c r="D3" s="5">
        <s:f>C3*Assumptions!$B$10</s:f>
        <s:v>0.0</s:v>
      </s:c>
      <s:c r="E3" s="5">
        <s:f>Acquisition!B3*1</s:f>
        <s:v>0</s:v>
      </s:c>
      <s:c r="F3" s="5">
        <s:f>C3-D3+E3</s:f>
        <s:v>0.0</s:v>
      </s:c>
      <s:c r="G3" s="5">
        <s:f>C3-D3+E3/2</s:f>
        <s:v>0.0</s:v>
      </s:c>
      <s:c r="H3" s="5">
        <s:f>G3*Assumptions!$B$9</s:f>
        <s:v>0.0</s:v>
      </s:c>
      <s:c r="I3" s="5">
        <s:f>H3*Assumptions!$B$11</s:f>
        <s:v>0.0</s:v>
      </s:c>
      <s:c r="J3" s="5">
        <s:f>H3-I3</s:f>
        <s:v>0.0</s:v>
      </s:c>
      <s:c r="K3" s="5">
        <s:f>H3*Assumptions!$B$12+G3*Assumptions!$B$13</s:f>
        <s:v>0.0</s:v>
      </s:c>
      <s:c r="L3" s="5">
        <s:f>G3*(Assumptions!$B$14+Assumptions!$B$15)</s:f>
        <s:v>0.0</s:v>
      </s:c>
      <s:c r="M3" s="5">
        <s:f>E3*Assumptions!$B$16</s:f>
        <s:v>0</s:v>
      </s:c>
      <s:c r="N3" s="5">
        <s:f>SUM(K3:M3)</s:f>
        <s:v>0.0</s:v>
      </s:c>
      <s:c r="O3" s="5">
        <s:f>J3-N3</s:f>
        <s:v>0.0</s:v>
      </s:c>
      <s:c r="P3" s="5">
        <s:f>INDEX(Assumptions!$B$30:$D$30,1,B3)</s:f>
        <s:v>9500.0</s:v>
      </s:c>
      <s:c r="Q3" s="5">
        <s:f>Acquisition!C3</s:f>
        <s:v>5000</s:v>
      </s:c>
      <s:c r="R3" s="5">
        <s:f>O3-P3-Q3</s:f>
        <s:v>-14500.0</s:v>
      </s:c>
      <s:c r="S3" s="5">
        <s:f>0</s:f>
        <s:v>0</s:v>
      </s:c>
      <s:c r="T3" s="5">
        <s:f>R3-S3</s:f>
        <s:v>-14500.0</s:v>
      </s:c>
      <s:c r="U3" s="5">
        <s:f>U2+T3</s:f>
        <s:v>141000.0</s:v>
      </s:c>
      <s:c r="V3" s="5">
        <s:f>F3*Assumptions!$B$9</s:f>
        <s:v>0.0</s:v>
      </s:c>
      <s:c r="W3" s="5">
        <s:f>V3*12</s:f>
        <s:v>0.0</s:v>
      </s:c>
    </s:row>
    <s:row r="4">
      <s:c r="A4" s="2" t="n">
        <s:v>3</s:v>
      </s:c>
      <s:c r="B4" s="4">
        <s:f>INT((A4-1)/12)+1</s:f>
        <s:v>1</s:v>
      </s:c>
      <s:c r="C4" s="5">
        <s:f>F3</s:f>
        <s:v>0.0</s:v>
      </s:c>
      <s:c r="D4" s="5">
        <s:f>C4*Assumptions!$B$10</s:f>
        <s:v>0.0</s:v>
      </s:c>
      <s:c r="E4" s="5">
        <s:f>Acquisition!B4*1</s:f>
        <s:v>3</s:v>
      </s:c>
      <s:c r="F4" s="5">
        <s:f>C4-D4+E4</s:f>
        <s:v>3.0</s:v>
      </s:c>
      <s:c r="G4" s="5">
        <s:f>C4-D4+E4/2</s:f>
        <s:v>1.5</s:v>
      </s:c>
      <s:c r="H4" s="5">
        <s:f>G4*Assumptions!$B$9</s:f>
        <s:v>189.75</s:v>
      </s:c>
      <s:c r="I4" s="5">
        <s:f>H4*Assumptions!$B$11</s:f>
        <s:v>1.8975</s:v>
      </s:c>
      <s:c r="J4" s="5">
        <s:f>H4-I4</s:f>
        <s:v>187.8525</s:v>
      </s:c>
      <s:c r="K4" s="5">
        <s:f>H4*Assumptions!$B$12+G4*Assumptions!$B$13</s:f>
        <s:v>7.281</s:v>
      </s:c>
      <s:c r="L4" s="5">
        <s:f>G4*(Assumptions!$B$14+Assumptions!$B$15)</s:f>
        <s:v>22.5</s:v>
      </s:c>
      <s:c r="M4" s="5">
        <s:f>E4*Assumptions!$B$16</s:f>
        <s:v>180</s:v>
      </s:c>
      <s:c r="N4" s="5">
        <s:f>SUM(K4:M4)</s:f>
        <s:v>209.781</s:v>
      </s:c>
      <s:c r="O4" s="5">
        <s:f>J4-N4</s:f>
        <s:v>-21.928500000000014</s:v>
      </s:c>
      <s:c r="P4" s="5">
        <s:f>INDEX(Assumptions!$B$30:$D$30,1,B4)</s:f>
        <s:v>9500.0</s:v>
      </s:c>
      <s:c r="Q4" s="5">
        <s:f>Acquisition!C4</s:f>
        <s:v>0</s:v>
      </s:c>
      <s:c r="R4" s="5">
        <s:f>O4-P4-Q4</s:f>
        <s:v>-9521.9285</s:v>
      </s:c>
      <s:c r="S4" s="5">
        <s:f>0</s:f>
        <s:v>0</s:v>
      </s:c>
      <s:c r="T4" s="5">
        <s:f>R4-S4</s:f>
        <s:v>-9521.9285</s:v>
      </s:c>
      <s:c r="U4" s="5">
        <s:f>U3+T4</s:f>
        <s:v>131478.0715</s:v>
      </s:c>
      <s:c r="V4" s="5">
        <s:f>F4*Assumptions!$B$9</s:f>
        <s:v>379.5</s:v>
      </s:c>
      <s:c r="W4" s="5">
        <s:f>V4*12</s:f>
        <s:v>4554.0</s:v>
      </s:c>
    </s:row>
    <s:row r="5">
      <s:c r="A5" s="2" t="n">
        <s:v>4</s:v>
      </s:c>
      <s:c r="B5" s="4">
        <s:f>INT((A5-1)/12)+1</s:f>
        <s:v>1</s:v>
      </s:c>
      <s:c r="C5" s="5">
        <s:f>F4</s:f>
        <s:v>3.0</s:v>
      </s:c>
      <s:c r="D5" s="5">
        <s:f>C5*Assumptions!$B$10</s:f>
        <s:v>0.06</s:v>
      </s:c>
      <s:c r="E5" s="5">
        <s:f>Acquisition!B5*1</s:f>
        <s:v>5</s:v>
      </s:c>
      <s:c r="F5" s="5">
        <s:f>C5-D5+E5</s:f>
        <s:v>7.9399999999999995</s:v>
      </s:c>
      <s:c r="G5" s="5">
        <s:f>C5-D5+E5/2</s:f>
        <s:v>5.4399999999999995</s:v>
      </s:c>
      <s:c r="H5" s="5">
        <s:f>G5*Assumptions!$B$9</s:f>
        <s:v>688.16</s:v>
      </s:c>
      <s:c r="I5" s="5">
        <s:f>H5*Assumptions!$B$11</s:f>
        <s:v>6.8816</s:v>
      </s:c>
      <s:c r="J5" s="5">
        <s:f>H5-I5</s:f>
        <s:v>681.2783999999999</s:v>
      </s:c>
      <s:c r="K5" s="5">
        <s:f>H5*Assumptions!$B$12+G5*Assumptions!$B$13</s:f>
        <s:v>26.405759999999997</s:v>
      </s:c>
      <s:c r="L5" s="5">
        <s:f>G5*(Assumptions!$B$14+Assumptions!$B$15)</s:f>
        <s:v>81.6</s:v>
      </s:c>
      <s:c r="M5" s="5">
        <s:f>E5*Assumptions!$B$16</s:f>
        <s:v>300</s:v>
      </s:c>
      <s:c r="N5" s="5">
        <s:f>SUM(K5:M5)</s:f>
        <s:v>408.00576</s:v>
      </s:c>
      <s:c r="O5" s="5">
        <s:f>J5-N5</s:f>
        <s:v>273.2726399999999</s:v>
      </s:c>
      <s:c r="P5" s="5">
        <s:f>INDEX(Assumptions!$B$30:$D$30,1,B5)</s:f>
        <s:v>9500.0</s:v>
      </s:c>
      <s:c r="Q5" s="5">
        <s:f>Acquisition!C5</s:f>
        <s:v>0</s:v>
      </s:c>
      <s:c r="R5" s="5">
        <s:f>O5-P5-Q5</s:f>
        <s:v>-9226.72736</s:v>
      </s:c>
      <s:c r="S5" s="5">
        <s:f>0</s:f>
        <s:v>0</s:v>
      </s:c>
      <s:c r="T5" s="5">
        <s:f>R5-S5</s:f>
        <s:v>-9226.72736</s:v>
      </s:c>
      <s:c r="U5" s="5">
        <s:f>U4+T5</s:f>
        <s:v>122251.34413999999</s:v>
      </s:c>
      <s:c r="V5" s="5">
        <s:f>F5*Assumptions!$B$9</s:f>
        <s:v>1004.41</s:v>
      </s:c>
      <s:c r="W5" s="5">
        <s:f>V5*12</s:f>
        <s:v>12052.92</s:v>
      </s:c>
    </s:row>
    <s:row r="6">
      <s:c r="A6" s="2" t="n">
        <s:v>5</s:v>
      </s:c>
      <s:c r="B6" s="4">
        <s:f>INT((A6-1)/12)+1</s:f>
        <s:v>1</s:v>
      </s:c>
      <s:c r="C6" s="5">
        <s:f>F5</s:f>
        <s:v>7.9399999999999995</s:v>
      </s:c>
      <s:c r="D6" s="5">
        <s:f>C6*Assumptions!$B$10</s:f>
        <s:v>0.1588</s:v>
      </s:c>
      <s:c r="E6" s="5">
        <s:f>Acquisition!B6*1</s:f>
        <s:v>7</s:v>
      </s:c>
      <s:c r="F6" s="5">
        <s:f>C6-D6+E6</s:f>
        <s:v>14.781199999999998</s:v>
      </s:c>
      <s:c r="G6" s="5">
        <s:f>C6-D6+E6/2</s:f>
        <s:v>11.281199999999998</s:v>
      </s:c>
      <s:c r="H6" s="5">
        <s:f>G6*Assumptions!$B$9</s:f>
        <s:v>1427.0717999999997</s:v>
      </s:c>
      <s:c r="I6" s="5">
        <s:f>H6*Assumptions!$B$11</s:f>
        <s:v>14.270717999999997</s:v>
      </s:c>
      <s:c r="J6" s="5">
        <s:f>H6-I6</s:f>
        <s:v>1412.8010819999997</s:v>
      </s:c>
      <s:c r="K6" s="5">
        <s:f>H6*Assumptions!$B$12+G6*Assumptions!$B$13</s:f>
        <s:v>54.75894479999999</s:v>
      </s:c>
      <s:c r="L6" s="5">
        <s:f>G6*(Assumptions!$B$14+Assumptions!$B$15)</s:f>
        <s:v>169.21799999999996</s:v>
      </s:c>
      <s:c r="M6" s="5">
        <s:f>E6*Assumptions!$B$16</s:f>
        <s:v>420</s:v>
      </s:c>
      <s:c r="N6" s="5">
        <s:f>SUM(K6:M6)</s:f>
        <s:v>643.9769448</s:v>
      </s:c>
      <s:c r="O6" s="5">
        <s:f>J6-N6</s:f>
        <s:v>768.8241371999998</s:v>
      </s:c>
      <s:c r="P6" s="5">
        <s:f>INDEX(Assumptions!$B$30:$D$30,1,B6)</s:f>
        <s:v>9500.0</s:v>
      </s:c>
      <s:c r="Q6" s="5">
        <s:f>Acquisition!C6</s:f>
        <s:v>0</s:v>
      </s:c>
      <s:c r="R6" s="5">
        <s:f>O6-P6-Q6</s:f>
        <s:v>-8731.1758628</s:v>
      </s:c>
      <s:c r="S6" s="5">
        <s:f>0</s:f>
        <s:v>0</s:v>
      </s:c>
      <s:c r="T6" s="5">
        <s:f>R6-S6</s:f>
        <s:v>-8731.1758628</s:v>
      </s:c>
      <s:c r="U6" s="5">
        <s:f>U5+T6</s:f>
        <s:v>113520.16827719999</s:v>
      </s:c>
      <s:c r="V6" s="5">
        <s:f>F6*Assumptions!$B$9</s:f>
        <s:v>1869.8217999999997</s:v>
      </s:c>
      <s:c r="W6" s="5">
        <s:f>V6*12</s:f>
        <s:v>22437.861599999997</s:v>
      </s:c>
    </s:row>
    <s:row r="7">
      <s:c r="A7" s="2" t="n">
        <s:v>6</s:v>
      </s:c>
      <s:c r="B7" s="4">
        <s:f>INT((A7-1)/12)+1</s:f>
        <s:v>1</s:v>
      </s:c>
      <s:c r="C7" s="5">
        <s:f>F6</s:f>
        <s:v>14.781199999999998</s:v>
      </s:c>
      <s:c r="D7" s="5">
        <s:f>C7*Assumptions!$B$10</s:f>
        <s:v>0.295624</s:v>
      </s:c>
      <s:c r="E7" s="5">
        <s:f>Acquisition!B7*1</s:f>
        <s:v>9</s:v>
      </s:c>
      <s:c r="F7" s="5">
        <s:f>C7-D7+E7</s:f>
        <s:v>23.485576</s:v>
      </s:c>
      <s:c r="G7" s="5">
        <s:f>C7-D7+E7/2</s:f>
        <s:v>18.985576</s:v>
      </s:c>
      <s:c r="H7" s="5">
        <s:f>G7*Assumptions!$B$9</s:f>
        <s:v>2401.6753639999997</s:v>
      </s:c>
      <s:c r="I7" s="5">
        <s:f>H7*Assumptions!$B$11</s:f>
        <s:v>24.016753639999997</s:v>
      </s:c>
      <s:c r="J7" s="5">
        <s:f>H7-I7</s:f>
        <s:v>2377.65861036</s:v>
      </s:c>
      <s:c r="K7" s="5">
        <s:f>H7*Assumptions!$B$12+G7*Assumptions!$B$13</s:f>
        <s:v>92.15598590399998</s:v>
      </s:c>
      <s:c r="L7" s="5">
        <s:f>G7*(Assumptions!$B$14+Assumptions!$B$15)</s:f>
        <s:v>284.78364</s:v>
      </s:c>
      <s:c r="M7" s="5">
        <s:f>E7*Assumptions!$B$16</s:f>
        <s:v>540</s:v>
      </s:c>
      <s:c r="N7" s="5">
        <s:f>SUM(K7:M7)</s:f>
        <s:v>916.939625904</s:v>
      </s:c>
      <s:c r="O7" s="5">
        <s:f>J7-N7</s:f>
        <s:v>1460.7189844559998</s:v>
      </s:c>
      <s:c r="P7" s="5">
        <s:f>INDEX(Assumptions!$B$30:$D$30,1,B7)</s:f>
        <s:v>9500.0</s:v>
      </s:c>
      <s:c r="Q7" s="5">
        <s:f>Acquisition!C7</s:f>
        <s:v>0</s:v>
      </s:c>
      <s:c r="R7" s="5">
        <s:f>O7-P7-Q7</s:f>
        <s:v>-8039.281015544</s:v>
      </s:c>
      <s:c r="S7" s="5">
        <s:f>0</s:f>
        <s:v>0</s:v>
      </s:c>
      <s:c r="T7" s="5">
        <s:f>R7-S7</s:f>
        <s:v>-8039.281015544</s:v>
      </s:c>
      <s:c r="U7" s="5">
        <s:f>U6+T7</s:f>
        <s:v>105480.887261656</s:v>
      </s:c>
      <s:c r="V7" s="5">
        <s:f>F7*Assumptions!$B$9</s:f>
        <s:v>2970.9253639999997</s:v>
      </s:c>
      <s:c r="W7" s="5">
        <s:f>V7*12</s:f>
        <s:v>35651.104368</s:v>
      </s:c>
    </s:row>
    <s:row r="8">
      <s:c r="A8" s="2" t="n">
        <s:v>7</s:v>
      </s:c>
      <s:c r="B8" s="4">
        <s:f>INT((A8-1)/12)+1</s:f>
        <s:v>1</s:v>
      </s:c>
      <s:c r="C8" s="5">
        <s:f>F7</s:f>
        <s:v>23.485576</s:v>
      </s:c>
      <s:c r="D8" s="5">
        <s:f>C8*Assumptions!$B$10</s:f>
        <s:v>0.46971152</s:v>
      </s:c>
      <s:c r="E8" s="5">
        <s:f>Acquisition!B8*1</s:f>
        <s:v>11</s:v>
      </s:c>
      <s:c r="F8" s="5">
        <s:f>C8-D8+E8</s:f>
        <s:v>34.01586448</s:v>
      </s:c>
      <s:c r="G8" s="5">
        <s:f>C8-D8+E8/2</s:f>
        <s:v>28.515864479999998</s:v>
      </s:c>
      <s:c r="H8" s="5">
        <s:f>G8*Assumptions!$B$9</s:f>
        <s:v>3607.2568567199996</s:v>
      </s:c>
      <s:c r="I8" s="5">
        <s:f>H8*Assumptions!$B$11</s:f>
        <s:v>36.072568567199994</s:v>
      </s:c>
      <s:c r="J8" s="5">
        <s:f>H8-I8</s:f>
        <s:v>3571.1842881527996</s:v>
      </s:c>
      <s:c r="K8" s="5">
        <s:f>H8*Assumptions!$B$12+G8*Assumptions!$B$13</s:f>
        <s:v>138.41600618591997</s:v>
      </s:c>
      <s:c r="L8" s="5">
        <s:f>G8*(Assumptions!$B$14+Assumptions!$B$15)</s:f>
        <s:v>427.73796719999996</s:v>
      </s:c>
      <s:c r="M8" s="5">
        <s:f>E8*Assumptions!$B$16</s:f>
        <s:v>660</s:v>
      </s:c>
      <s:c r="N8" s="5">
        <s:f>SUM(K8:M8)</s:f>
        <s:v>1226.15397338592</s:v>
      </s:c>
      <s:c r="O8" s="5">
        <s:f>J8-N8</s:f>
        <s:v>2345.0303147668797</s:v>
      </s:c>
      <s:c r="P8" s="5">
        <s:f>INDEX(Assumptions!$B$30:$D$30,1,B8)</s:f>
        <s:v>9500.0</s:v>
      </s:c>
      <s:c r="Q8" s="5">
        <s:f>Acquisition!C8</s:f>
        <s:v>0</s:v>
      </s:c>
      <s:c r="R8" s="5">
        <s:f>O8-P8-Q8</s:f>
        <s:v>-7154.96968523312</s:v>
      </s:c>
      <s:c r="S8" s="5">
        <s:f>0</s:f>
        <s:v>0</s:v>
      </s:c>
      <s:c r="T8" s="5">
        <s:f>R8-S8</s:f>
        <s:v>-7154.96968523312</s:v>
      </s:c>
      <s:c r="U8" s="5">
        <s:f>U7+T8</s:f>
        <s:v>98325.91757642287</s:v>
      </s:c>
      <s:c r="V8" s="5">
        <s:f>F8*Assumptions!$B$9</s:f>
        <s:v>4303.00685672</s:v>
      </s:c>
      <s:c r="W8" s="5">
        <s:f>V8*12</s:f>
        <s:v>51636.082280639996</s:v>
      </s:c>
    </s:row>
    <s:row r="9">
      <s:c r="A9" s="2" t="n">
        <s:v>8</s:v>
      </s:c>
      <s:c r="B9" s="4">
        <s:f>INT((A9-1)/12)+1</s:f>
        <s:v>1</s:v>
      </s:c>
      <s:c r="C9" s="5">
        <s:f>F8</s:f>
        <s:v>34.01586448</s:v>
      </s:c>
      <s:c r="D9" s="5">
        <s:f>C9*Assumptions!$B$10</s:f>
        <s:v>0.6803172895999999</s:v>
      </s:c>
      <s:c r="E9" s="5">
        <s:f>Acquisition!B9*1</s:f>
        <s:v>13</s:v>
      </s:c>
      <s:c r="F9" s="5">
        <s:f>C9-D9+E9</s:f>
        <s:v>46.3355471904</s:v>
      </s:c>
      <s:c r="G9" s="5">
        <s:f>C9-D9+E9/2</s:f>
        <s:v>39.8355471904</s:v>
      </s:c>
      <s:c r="H9" s="5">
        <s:f>G9*Assumptions!$B$9</s:f>
        <s:v>5039.1967195856</s:v>
      </s:c>
      <s:c r="I9" s="5">
        <s:f>H9*Assumptions!$B$11</s:f>
        <s:v>50.391967195856</s:v>
      </s:c>
      <s:c r="J9" s="5">
        <s:f>H9-I9</s:f>
        <s:v>4988.804752389744</s:v>
      </s:c>
      <s:c r="K9" s="5">
        <s:f>H9*Assumptions!$B$12+G9*Assumptions!$B$13</s:f>
        <s:v>193.36174606220158</s:v>
      </s:c>
      <s:c r="L9" s="5">
        <s:f>G9*(Assumptions!$B$14+Assumptions!$B$15)</s:f>
        <s:v>597.533207856</s:v>
      </s:c>
      <s:c r="M9" s="5">
        <s:f>E9*Assumptions!$B$16</s:f>
        <s:v>780</s:v>
      </s:c>
      <s:c r="N9" s="5">
        <s:f>SUM(K9:M9)</s:f>
        <s:v>1570.8949539182015</s:v>
      </s:c>
      <s:c r="O9" s="5">
        <s:f>J9-N9</s:f>
        <s:v>3417.9097984715427</s:v>
      </s:c>
      <s:c r="P9" s="5">
        <s:f>INDEX(Assumptions!$B$30:$D$30,1,B9)</s:f>
        <s:v>9500.0</s:v>
      </s:c>
      <s:c r="Q9" s="5">
        <s:f>Acquisition!C9</s:f>
        <s:v>0</s:v>
      </s:c>
      <s:c r="R9" s="5">
        <s:f>O9-P9-Q9</s:f>
        <s:v>-6082.090201528457</s:v>
      </s:c>
      <s:c r="S9" s="5">
        <s:f>0</s:f>
        <s:v>0</s:v>
      </s:c>
      <s:c r="T9" s="5">
        <s:f>R9-S9</s:f>
        <s:v>-6082.090201528457</s:v>
      </s:c>
      <s:c r="U9" s="5">
        <s:f>U8+T9</s:f>
        <s:v>92243.82737489442</s:v>
      </s:c>
      <s:c r="V9" s="5">
        <s:f>F9*Assumptions!$B$9</s:f>
        <s:v>5861.4467195856</s:v>
      </s:c>
      <s:c r="W9" s="5">
        <s:f>V9*12</s:f>
        <s:v>70337.3606350272</s:v>
      </s:c>
    </s:row>
    <s:row r="10">
      <s:c r="A10" s="2" t="n">
        <s:v>9</s:v>
      </s:c>
      <s:c r="B10" s="4">
        <s:f>INT((A10-1)/12)+1</s:f>
        <s:v>1</s:v>
      </s:c>
      <s:c r="C10" s="5">
        <s:f>F9</s:f>
        <s:v>46.3355471904</s:v>
      </s:c>
      <s:c r="D10" s="5">
        <s:f>C10*Assumptions!$B$10</s:f>
        <s:v>0.926710943808</s:v>
      </s:c>
      <s:c r="E10" s="5">
        <s:f>Acquisition!B10*1</s:f>
        <s:v>15</s:v>
      </s:c>
      <s:c r="F10" s="5">
        <s:f>C10-D10+E10</s:f>
        <s:v>60.408836246592</s:v>
      </s:c>
      <s:c r="G10" s="5">
        <s:f>C10-D10+E10/2</s:f>
        <s:v>52.908836246592</s:v>
      </s:c>
      <s:c r="H10" s="5">
        <s:f>G10*Assumptions!$B$9</s:f>
        <s:v>6692.967785193889</s:v>
      </s:c>
      <s:c r="I10" s="5">
        <s:f>H10*Assumptions!$B$11</s:f>
        <s:v>66.92967785193889</s:v>
      </s:c>
      <s:c r="J10" s="5">
        <s:f>H10-I10</s:f>
        <s:v>6626.038107341949</s:v>
      </s:c>
      <s:c r="K10" s="5">
        <s:f>H10*Assumptions!$B$12+G10*Assumptions!$B$13</s:f>
        <s:v>256.81949114095755</s:v>
      </s:c>
      <s:c r="L10" s="5">
        <s:f>G10*(Assumptions!$B$14+Assumptions!$B$15)</s:f>
        <s:v>793.63254369888</s:v>
      </s:c>
      <s:c r="M10" s="5">
        <s:f>E10*Assumptions!$B$16</s:f>
        <s:v>900</s:v>
      </s:c>
      <s:c r="N10" s="5">
        <s:f>SUM(K10:M10)</s:f>
        <s:v>1950.4520348398376</s:v>
      </s:c>
      <s:c r="O10" s="5">
        <s:f>J10-N10</s:f>
        <s:v>4675.586072502112</s:v>
      </s:c>
      <s:c r="P10" s="5">
        <s:f>INDEX(Assumptions!$B$30:$D$30,1,B10)</s:f>
        <s:v>9500.0</s:v>
      </s:c>
      <s:c r="Q10" s="5">
        <s:f>Acquisition!C10</s:f>
        <s:v>0</s:v>
      </s:c>
      <s:c r="R10" s="5">
        <s:f>O10-P10-Q10</s:f>
        <s:v>-4824.413927497888</s:v>
      </s:c>
      <s:c r="S10" s="5">
        <s:f>0</s:f>
        <s:v>0</s:v>
      </s:c>
      <s:c r="T10" s="5">
        <s:f>R10-S10</s:f>
        <s:v>-4824.413927497888</s:v>
      </s:c>
      <s:c r="U10" s="5">
        <s:f>U9+T10</s:f>
        <s:v>87419.41344739654</s:v>
      </s:c>
      <s:c r="V10" s="5">
        <s:f>F10*Assumptions!$B$9</s:f>
        <s:v>7641.717785193889</s:v>
      </s:c>
      <s:c r="W10" s="5">
        <s:f>V10*12</s:f>
        <s:v>91700.61342232666</s:v>
      </s:c>
    </s:row>
    <s:row r="11">
      <s:c r="A11" s="2" t="n">
        <s:v>10</s:v>
      </s:c>
      <s:c r="B11" s="4">
        <s:f>INT((A11-1)/12)+1</s:f>
        <s:v>1</s:v>
      </s:c>
      <s:c r="C11" s="5">
        <s:f>F10</s:f>
        <s:v>60.408836246592</s:v>
      </s:c>
      <s:c r="D11" s="5">
        <s:f>C11*Assumptions!$B$10</s:f>
        <s:v>1.20817672493184</s:v>
      </s:c>
      <s:c r="E11" s="5">
        <s:f>Acquisition!B11*1</s:f>
        <s:v>17</s:v>
      </s:c>
      <s:c r="F11" s="5">
        <s:f>C11-D11+E11</s:f>
        <s:v>76.20065952166016</s:v>
      </s:c>
      <s:c r="G11" s="5">
        <s:f>C11-D11+E11/2</s:f>
        <s:v>67.70065952166016</s:v>
      </s:c>
      <s:c r="H11" s="5">
        <s:f>G11*Assumptions!$B$9</s:f>
        <s:v>8564.13342949001</s:v>
      </s:c>
      <s:c r="I11" s="5">
        <s:f>H11*Assumptions!$B$11</s:f>
        <s:v>85.6413342949001</s:v>
      </s:c>
      <s:c r="J11" s="5">
        <s:f>H11-I11</s:f>
        <s:v>8478.49209519511</s:v>
      </s:c>
      <s:c r="K11" s="5">
        <s:f>H11*Assumptions!$B$12+G11*Assumptions!$B$13</s:f>
        <s:v>328.6190013181384</s:v>
      </s:c>
      <s:c r="L11" s="5">
        <s:f>G11*(Assumptions!$B$14+Assumptions!$B$15)</s:f>
        <s:v>1015.5098928249024</s:v>
      </s:c>
      <s:c r="M11" s="5">
        <s:f>E11*Assumptions!$B$16</s:f>
        <s:v>1020</s:v>
      </s:c>
      <s:c r="N11" s="5">
        <s:f>SUM(K11:M11)</s:f>
        <s:v>2364.1288941430407</s:v>
      </s:c>
      <s:c r="O11" s="5">
        <s:f>J11-N11</s:f>
        <s:v>6114.363201052069</s:v>
      </s:c>
      <s:c r="P11" s="5">
        <s:f>INDEX(Assumptions!$B$30:$D$30,1,B11)</s:f>
        <s:v>9500.0</s:v>
      </s:c>
      <s:c r="Q11" s="5">
        <s:f>Acquisition!C11</s:f>
        <s:v>0</s:v>
      </s:c>
      <s:c r="R11" s="5">
        <s:f>O11-P11-Q11</s:f>
        <s:v>-3385.6367989479313</s:v>
      </s:c>
      <s:c r="S11" s="5">
        <s:f>0</s:f>
        <s:v>0</s:v>
      </s:c>
      <s:c r="T11" s="5">
        <s:f>R11-S11</s:f>
        <s:v>-3385.6367989479313</s:v>
      </s:c>
      <s:c r="U11" s="5">
        <s:f>U10+T11</s:f>
        <s:v>84033.7766484486</s:v>
      </s:c>
      <s:c r="V11" s="5">
        <s:f>F11*Assumptions!$B$9</s:f>
        <s:v>9639.38342949001</s:v>
      </s:c>
      <s:c r="W11" s="5">
        <s:f>V11*12</s:f>
        <s:v>115672.60115388012</s:v>
      </s:c>
    </s:row>
    <s:row r="12">
      <s:c r="A12" s="2" t="n">
        <s:v>11</s:v>
      </s:c>
      <s:c r="B12" s="4">
        <s:f>INT((A12-1)/12)+1</s:f>
        <s:v>1</s:v>
      </s:c>
      <s:c r="C12" s="5">
        <s:f>F11</s:f>
        <s:v>76.20065952166016</s:v>
      </s:c>
      <s:c r="D12" s="5">
        <s:f>C12*Assumptions!$B$10</s:f>
        <s:v>1.5240131904332033</s:v>
      </s:c>
      <s:c r="E12" s="5">
        <s:f>Acquisition!B12*1</s:f>
        <s:v>19</s:v>
      </s:c>
      <s:c r="F12" s="5">
        <s:f>C12-D12+E12</s:f>
        <s:v>93.67664633122695</s:v>
      </s:c>
      <s:c r="G12" s="5">
        <s:f>C12-D12+E12/2</s:f>
        <s:v>84.17664633122695</s:v>
      </s:c>
      <s:c r="H12" s="5">
        <s:f>G12*Assumptions!$B$9</s:f>
        <s:v>10648.345760900209</s:v>
      </s:c>
      <s:c r="I12" s="5">
        <s:f>H12*Assumptions!$B$11</s:f>
        <s:v>106.48345760900209</s:v>
      </s:c>
      <s:c r="J12" s="5">
        <s:f>H12-I12</s:f>
        <s:v>10541.862303291207</s:v>
      </s:c>
      <s:c r="K12" s="5">
        <s:f>H12*Assumptions!$B$12+G12*Assumptions!$B$13</s:f>
        <s:v>408.5934412917756</s:v>
      </s:c>
      <s:c r="L12" s="5">
        <s:f>G12*(Assumptions!$B$14+Assumptions!$B$15)</s:f>
        <s:v>1262.6496949684042</s:v>
      </s:c>
      <s:c r="M12" s="5">
        <s:f>E12*Assumptions!$B$16</s:f>
        <s:v>1140</s:v>
      </s:c>
      <s:c r="N12" s="5">
        <s:f>SUM(K12:M12)</s:f>
        <s:v>2811.24313626018</s:v>
      </s:c>
      <s:c r="O12" s="5">
        <s:f>J12-N12</s:f>
        <s:v>7730.619167031027</s:v>
      </s:c>
      <s:c r="P12" s="5">
        <s:f>INDEX(Assumptions!$B$30:$D$30,1,B12)</s:f>
        <s:v>9500.0</s:v>
      </s:c>
      <s:c r="Q12" s="5">
        <s:f>Acquisition!C12</s:f>
        <s:v>0</s:v>
      </s:c>
      <s:c r="R12" s="5">
        <s:f>O12-P12-Q12</s:f>
        <s:v>-1769.3808329689728</s:v>
      </s:c>
      <s:c r="S12" s="5">
        <s:f>0</s:f>
        <s:v>0</s:v>
      </s:c>
      <s:c r="T12" s="5">
        <s:f>R12-S12</s:f>
        <s:v>-1769.3808329689728</s:v>
      </s:c>
      <s:c r="U12" s="5">
        <s:f>U11+T12</s:f>
        <s:v>82264.39581547963</s:v>
      </s:c>
      <s:c r="V12" s="5">
        <s:f>F12*Assumptions!$B$9</s:f>
        <s:v>11850.095760900209</s:v>
      </s:c>
      <s:c r="W12" s="5">
        <s:f>V12*12</s:f>
        <s:v>142201.1491308025</s:v>
      </s:c>
    </s:row>
    <s:row r="13">
      <s:c r="A13" s="2" t="n">
        <s:v>12</s:v>
      </s:c>
      <s:c r="B13" s="4">
        <s:f>INT((A13-1)/12)+1</s:f>
        <s:v>1</s:v>
      </s:c>
      <s:c r="C13" s="5">
        <s:f>F12</s:f>
        <s:v>93.67664633122695</s:v>
      </s:c>
      <s:c r="D13" s="5">
        <s:f>C13*Assumptions!$B$10</s:f>
        <s:v>1.873532926624539</s:v>
      </s:c>
      <s:c r="E13" s="5">
        <s:f>Acquisition!B13*1</s:f>
        <s:v>21</s:v>
      </s:c>
      <s:c r="F13" s="5">
        <s:f>C13-D13+E13</s:f>
        <s:v>112.80311340460241</s:v>
      </s:c>
      <s:c r="G13" s="5">
        <s:f>C13-D13+E13/2</s:f>
        <s:v>102.30311340460241</s:v>
      </s:c>
      <s:c r="H13" s="5">
        <s:f>G13*Assumptions!$B$9</s:f>
        <s:v>12941.343845682206</s:v>
      </s:c>
      <s:c r="I13" s="5">
        <s:f>H13*Assumptions!$B$11</s:f>
        <s:v>129.41343845682206</s:v>
      </s:c>
      <s:c r="J13" s="5">
        <s:f>H13-I13</s:f>
        <s:v>12811.930407225384</s:v>
      </s:c>
      <s:c r="K13" s="5">
        <s:f>H13*Assumptions!$B$12+G13*Assumptions!$B$13</s:f>
        <s:v>496.57931246594006</s:v>
      </s:c>
      <s:c r="L13" s="5">
        <s:f>G13*(Assumptions!$B$14+Assumptions!$B$15)</s:f>
        <s:v>1534.5467010690363</s:v>
      </s:c>
      <s:c r="M13" s="5">
        <s:f>E13*Assumptions!$B$16</s:f>
        <s:v>1260</s:v>
      </s:c>
      <s:c r="N13" s="5">
        <s:f>SUM(K13:M13)</s:f>
        <s:v>3291.1260135349767</s:v>
      </s:c>
      <s:c r="O13" s="5">
        <s:f>J13-N13</s:f>
        <s:v>9520.804393690407</s:v>
      </s:c>
      <s:c r="P13" s="5">
        <s:f>INDEX(Assumptions!$B$30:$D$30,1,B13)</s:f>
        <s:v>9500.0</s:v>
      </s:c>
      <s:c r="Q13" s="5">
        <s:f>Acquisition!C13</s:f>
        <s:v>0</s:v>
      </s:c>
      <s:c r="R13" s="5">
        <s:f>O13-P13-Q13</s:f>
        <s:v>20.80439369040687</s:v>
      </s:c>
      <s:c r="S13" s="5">
        <s:f>MAX(SUM(R2:R13),0)*Assumptions!$B$17</s:f>
        <s:v>0.0</s:v>
      </s:c>
      <s:c r="T13" s="5">
        <s:f>R13-S13</s:f>
        <s:v>20.80439369040687</s:v>
      </s:c>
      <s:c r="U13" s="5">
        <s:f>U12+T13</s:f>
        <s:v>82285.20020917003</s:v>
      </s:c>
      <s:c r="V13" s="5">
        <s:f>F13*Assumptions!$B$9</s:f>
        <s:v>14269.593845682206</s:v>
      </s:c>
      <s:c r="W13" s="5">
        <s:f>V13*12</s:f>
        <s:v>171235.12614818648</s:v>
      </s:c>
    </s:row>
    <s:row r="14">
      <s:c r="A14" s="2" t="n">
        <s:v>13</s:v>
      </s:c>
      <s:c r="B14" s="4">
        <s:f>INT((A14-1)/12)+1</s:f>
        <s:v>2</s:v>
      </s:c>
      <s:c r="C14" s="5">
        <s:f>F13</s:f>
        <s:v>112.80311340460241</s:v>
      </s:c>
      <s:c r="D14" s="5">
        <s:f>C14*Assumptions!$B$10</s:f>
        <s:v>2.256062268092048</s:v>
      </s:c>
      <s:c r="E14" s="5">
        <s:f>Acquisition!B14*1</s:f>
        <s:v>25</s:v>
      </s:c>
      <s:c r="F14" s="5">
        <s:f>C14-D14+E14</s:f>
        <s:v>135.54705113651036</s:v>
      </s:c>
      <s:c r="G14" s="5">
        <s:f>C14-D14+E14/2</s:f>
        <s:v>123.04705113651036</s:v>
      </s:c>
      <s:c r="H14" s="5">
        <s:f>G14*Assumptions!$B$9</s:f>
        <s:v>15565.45196876856</s:v>
      </s:c>
      <s:c r="I14" s="5">
        <s:f>H14*Assumptions!$B$11</s:f>
        <s:v>155.65451968768562</s:v>
      </s:c>
      <s:c r="J14" s="5">
        <s:f>H14-I14</s:f>
        <s:v>15409.797449080876</s:v>
      </s:c>
      <s:c r="K14" s="5">
        <s:f>H14*Assumptions!$B$12+G14*Assumptions!$B$13</s:f>
        <s:v>597.2703862166212</s:v>
      </s:c>
      <s:c r="L14" s="5">
        <s:f>G14*(Assumptions!$B$14+Assumptions!$B$15)</s:f>
        <s:v>1845.7057670476554</s:v>
      </s:c>
      <s:c r="M14" s="5">
        <s:f>E14*Assumptions!$B$16</s:f>
        <s:v>1500</s:v>
      </s:c>
      <s:c r="N14" s="5">
        <s:f>SUM(K14:M14)</s:f>
        <s:v>3942.9761532642765</s:v>
      </s:c>
      <s:c r="O14" s="5">
        <s:f>J14-N14</s:f>
        <s:v>11466.821295816599</s:v>
      </s:c>
      <s:c r="P14" s="5">
        <s:f>INDEX(Assumptions!$B$30:$D$30,1,B14)</s:f>
        <s:v>15500.0</s:v>
      </s:c>
      <s:c r="Q14" s="5">
        <s:f>Acquisition!C14</s:f>
        <s:v>0</s:v>
      </s:c>
      <s:c r="R14" s="5">
        <s:f>O14-P14-Q14</s:f>
        <s:v>-4033.1787041834014</s:v>
      </s:c>
      <s:c r="S14" s="5">
        <s:f>0</s:f>
        <s:v>0</s:v>
      </s:c>
      <s:c r="T14" s="5">
        <s:f>R14-S14</s:f>
        <s:v>-4033.1787041834014</s:v>
      </s:c>
      <s:c r="U14" s="5">
        <s:f>U13+T14</s:f>
        <s:v>78252.02150498662</s:v>
      </s:c>
      <s:c r="V14" s="5">
        <s:f>F14*Assumptions!$B$9</s:f>
        <s:v>17146.70196876856</s:v>
      </s:c>
      <s:c r="W14" s="5">
        <s:f>V14*12</s:f>
        <s:v>205760.42362522273</s:v>
      </s:c>
    </s:row>
    <s:row r="15">
      <s:c r="A15" s="2" t="n">
        <s:v>14</s:v>
      </s:c>
      <s:c r="B15" s="4">
        <s:f>INT((A15-1)/12)+1</s:f>
        <s:v>2</s:v>
      </s:c>
      <s:c r="C15" s="5">
        <s:f>F14</s:f>
        <s:v>135.54705113651036</s:v>
      </s:c>
      <s:c r="D15" s="5">
        <s:f>C15*Assumptions!$B$10</s:f>
        <s:v>2.710941022730207</s:v>
      </s:c>
      <s:c r="E15" s="5">
        <s:f>Acquisition!B15*1</s:f>
        <s:v>25</s:v>
      </s:c>
      <s:c r="F15" s="5">
        <s:f>C15-D15+E15</s:f>
        <s:v>157.83611011378017</s:v>
      </s:c>
      <s:c r="G15" s="5">
        <s:f>C15-D15+E15/2</s:f>
        <s:v>145.33611011378017</s:v>
      </s:c>
      <s:c r="H15" s="5">
        <s:f>G15*Assumptions!$B$9</s:f>
        <s:v>18385.01792939319</s:v>
      </s:c>
      <s:c r="I15" s="5">
        <s:f>H15*Assumptions!$B$11</s:f>
        <s:v>183.85017929393192</s:v>
      </s:c>
      <s:c r="J15" s="5">
        <s:f>H15-I15</s:f>
        <s:v>18201.16775009926</s:v>
      </s:c>
      <s:c r="K15" s="5">
        <s:f>H15*Assumptions!$B$12+G15*Assumptions!$B$13</s:f>
        <s:v>705.461478492289</s:v>
      </s:c>
      <s:c r="L15" s="5">
        <s:f>G15*(Assumptions!$B$14+Assumptions!$B$15)</s:f>
        <s:v>2180.0416517067024</s:v>
      </s:c>
      <s:c r="M15" s="5">
        <s:f>E15*Assumptions!$B$16</s:f>
        <s:v>1500</s:v>
      </s:c>
      <s:c r="N15" s="5">
        <s:f>SUM(K15:M15)</s:f>
        <s:v>4385.503130198991</s:v>
      </s:c>
      <s:c r="O15" s="5">
        <s:f>J15-N15</s:f>
        <s:v>13815.664619900268</s:v>
      </s:c>
      <s:c r="P15" s="5">
        <s:f>INDEX(Assumptions!$B$30:$D$30,1,B15)</s:f>
        <s:v>15500.0</s:v>
      </s:c>
      <s:c r="Q15" s="5">
        <s:f>Acquisition!C15</s:f>
        <s:v>0</s:v>
      </s:c>
      <s:c r="R15" s="5">
        <s:f>O15-P15-Q15</s:f>
        <s:v>-1684.335380099732</s:v>
      </s:c>
      <s:c r="S15" s="5">
        <s:f>0</s:f>
        <s:v>0</s:v>
      </s:c>
      <s:c r="T15" s="5">
        <s:f>R15-S15</s:f>
        <s:v>-1684.335380099732</s:v>
      </s:c>
      <s:c r="U15" s="5">
        <s:f>U14+T15</s:f>
        <s:v>76567.6861248869</s:v>
      </s:c>
      <s:c r="V15" s="5">
        <s:f>F15*Assumptions!$B$9</s:f>
        <s:v>19966.26792939319</s:v>
      </s:c>
      <s:c r="W15" s="5">
        <s:f>V15*12</s:f>
        <s:v>239595.2151527183</s:v>
      </s:c>
    </s:row>
    <s:row r="16">
      <s:c r="A16" s="2" t="n">
        <s:v>15</s:v>
      </s:c>
      <s:c r="B16" s="4">
        <s:f>INT((A16-1)/12)+1</s:f>
        <s:v>2</s:v>
      </s:c>
      <s:c r="C16" s="5">
        <s:f>F15</s:f>
        <s:v>157.83611011378017</s:v>
      </s:c>
      <s:c r="D16" s="5">
        <s:f>C16*Assumptions!$B$10</s:f>
        <s:v>3.156722202275603</s:v>
      </s:c>
      <s:c r="E16" s="5">
        <s:f>Acquisition!B16*1</s:f>
        <s:v>25</s:v>
      </s:c>
      <s:c r="F16" s="5">
        <s:f>C16-D16+E16</s:f>
        <s:v>179.67938791150456</s:v>
      </s:c>
      <s:c r="G16" s="5">
        <s:f>C16-D16+E16/2</s:f>
        <s:v>167.17938791150456</s:v>
      </s:c>
      <s:c r="H16" s="5">
        <s:f>G16*Assumptions!$B$9</s:f>
        <s:v>21148.192570805328</s:v>
      </s:c>
      <s:c r="I16" s="5">
        <s:f>H16*Assumptions!$B$11</s:f>
        <s:v>211.48192570805327</s:v>
      </s:c>
      <s:c r="J16" s="5">
        <s:f>H16-I16</s:f>
        <s:v>20936.710645097275</s:v>
      </s:c>
      <s:c r="K16" s="5">
        <s:f>H16*Assumptions!$B$12+G16*Assumptions!$B$13</s:f>
        <s:v>811.4887489224432</s:v>
      </s:c>
      <s:c r="L16" s="5">
        <s:f>G16*(Assumptions!$B$14+Assumptions!$B$15)</s:f>
        <s:v>2507.6908186725686</s:v>
      </s:c>
      <s:c r="M16" s="5">
        <s:f>E16*Assumptions!$B$16</s:f>
        <s:v>1500</s:v>
      </s:c>
      <s:c r="N16" s="5">
        <s:f>SUM(K16:M16)</s:f>
        <s:v>4819.179567595012</s:v>
      </s:c>
      <s:c r="O16" s="5">
        <s:f>J16-N16</s:f>
        <s:v>16117.531077502263</s:v>
      </s:c>
      <s:c r="P16" s="5">
        <s:f>INDEX(Assumptions!$B$30:$D$30,1,B16)</s:f>
        <s:v>15500.0</s:v>
      </s:c>
      <s:c r="Q16" s="5">
        <s:f>Acquisition!C16</s:f>
        <s:v>0</s:v>
      </s:c>
      <s:c r="R16" s="5">
        <s:f>O16-P16-Q16</s:f>
        <s:v>617.5310775022626</s:v>
      </s:c>
      <s:c r="S16" s="5">
        <s:f>0</s:f>
        <s:v>0</s:v>
      </s:c>
      <s:c r="T16" s="5">
        <s:f>R16-S16</s:f>
        <s:v>617.5310775022626</s:v>
      </s:c>
      <s:c r="U16" s="5">
        <s:f>U15+T16</s:f>
        <s:v>77185.21720238916</s:v>
      </s:c>
      <s:c r="V16" s="5">
        <s:f>F16*Assumptions!$B$9</s:f>
        <s:v>22729.442570805328</s:v>
      </s:c>
      <s:c r="W16" s="5">
        <s:f>V16*12</s:f>
        <s:v>272753.3108496639</s:v>
      </s:c>
    </s:row>
    <s:row r="17">
      <s:c r="A17" s="2" t="n">
        <s:v>16</s:v>
      </s:c>
      <s:c r="B17" s="4">
        <s:f>INT((A17-1)/12)+1</s:f>
        <s:v>2</s:v>
      </s:c>
      <s:c r="C17" s="5">
        <s:f>F16</s:f>
        <s:v>179.67938791150456</s:v>
      </s:c>
      <s:c r="D17" s="5">
        <s:f>C17*Assumptions!$B$10</s:f>
        <s:v>3.5935877582300915</s:v>
      </s:c>
      <s:c r="E17" s="5">
        <s:f>Acquisition!B17*1</s:f>
        <s:v>25</s:v>
      </s:c>
      <s:c r="F17" s="5">
        <s:f>C17-D17+E17</s:f>
        <s:v>201.08580015327448</s:v>
      </s:c>
      <s:c r="G17" s="5">
        <s:f>C17-D17+E17/2</s:f>
        <s:v>188.58580015327448</s:v>
      </s:c>
      <s:c r="H17" s="5">
        <s:f>G17*Assumptions!$B$9</s:f>
        <s:v>23856.103719389223</s:v>
      </s:c>
      <s:c r="I17" s="5">
        <s:f>H17*Assumptions!$B$11</s:f>
        <s:v>238.56103719389222</s:v>
      </s:c>
      <s:c r="J17" s="5">
        <s:f>H17-I17</s:f>
        <s:v>23617.54268219533</s:v>
      </s:c>
      <s:c r="K17" s="5">
        <s:f>H17*Assumptions!$B$12+G17*Assumptions!$B$13</s:f>
        <s:v>915.3954739439943</s:v>
      </s:c>
      <s:c r="L17" s="5">
        <s:f>G17*(Assumptions!$B$14+Assumptions!$B$15)</s:f>
        <s:v>2828.7870022991174</s:v>
      </s:c>
      <s:c r="M17" s="5">
        <s:f>E17*Assumptions!$B$16</s:f>
        <s:v>1500</s:v>
      </s:c>
      <s:c r="N17" s="5">
        <s:f>SUM(K17:M17)</s:f>
        <s:v>5244.1824762431115</s:v>
      </s:c>
      <s:c r="O17" s="5">
        <s:f>J17-N17</s:f>
        <s:v>18373.360205952216</s:v>
      </s:c>
      <s:c r="P17" s="5">
        <s:f>INDEX(Assumptions!$B$30:$D$30,1,B17)</s:f>
        <s:v>15500.0</s:v>
      </s:c>
      <s:c r="Q17" s="5">
        <s:f>Acquisition!C17</s:f>
        <s:v>0</s:v>
      </s:c>
      <s:c r="R17" s="5">
        <s:f>O17-P17-Q17</s:f>
        <s:v>2873.3602059522163</s:v>
      </s:c>
      <s:c r="S17" s="5">
        <s:f>0</s:f>
        <s:v>0</s:v>
      </s:c>
      <s:c r="T17" s="5">
        <s:f>R17-S17</s:f>
        <s:v>2873.3602059522163</s:v>
      </s:c>
      <s:c r="U17" s="5">
        <s:f>U16+T17</s:f>
        <s:v>80058.57740834137</s:v>
      </s:c>
      <s:c r="V17" s="5">
        <s:f>F17*Assumptions!$B$9</s:f>
        <s:v>25437.353719389223</s:v>
      </s:c>
      <s:c r="W17" s="5">
        <s:f>V17*12</s:f>
        <s:v>305248.24463267066</s:v>
      </s:c>
    </s:row>
    <s:row r="18">
      <s:c r="A18" s="2" t="n">
        <s:v>17</s:v>
      </s:c>
      <s:c r="B18" s="4">
        <s:f>INT((A18-1)/12)+1</s:f>
        <s:v>2</s:v>
      </s:c>
      <s:c r="C18" s="5">
        <s:f>F17</s:f>
        <s:v>201.08580015327448</s:v>
      </s:c>
      <s:c r="D18" s="5">
        <s:f>C18*Assumptions!$B$10</s:f>
        <s:v>4.02171600306549</s:v>
      </s:c>
      <s:c r="E18" s="5">
        <s:f>Acquisition!B18*1</s:f>
        <s:v>25</s:v>
      </s:c>
      <s:c r="F18" s="5">
        <s:f>C18-D18+E18</s:f>
        <s:v>222.064084150209</s:v>
      </s:c>
      <s:c r="G18" s="5">
        <s:f>C18-D18+E18/2</s:f>
        <s:v>209.564084150209</s:v>
      </s:c>
      <s:c r="H18" s="5">
        <s:f>G18*Assumptions!$B$9</s:f>
        <s:v>26509.856645001437</s:v>
      </s:c>
      <s:c r="I18" s="5">
        <s:f>H18*Assumptions!$B$11</s:f>
        <s:v>265.09856645001435</s:v>
      </s:c>
      <s:c r="J18" s="5">
        <s:f>H18-I18</s:f>
        <s:v>26244.758078551422</s:v>
      </s:c>
      <s:c r="K18" s="5">
        <s:f>H18*Assumptions!$B$12+G18*Assumptions!$B$13</s:f>
        <s:v>1017.2240644651143</s:v>
      </s:c>
      <s:c r="L18" s="5">
        <s:f>G18*(Assumptions!$B$14+Assumptions!$B$15)</s:f>
        <s:v>3143.461262253135</s:v>
      </s:c>
      <s:c r="M18" s="5">
        <s:f>E18*Assumptions!$B$16</s:f>
        <s:v>1500</s:v>
      </s:c>
      <s:c r="N18" s="5">
        <s:f>SUM(K18:M18)</s:f>
        <s:v>5660.68532671825</s:v>
      </s:c>
      <s:c r="O18" s="5">
        <s:f>J18-N18</s:f>
        <s:v>20584.072751833173</s:v>
      </s:c>
      <s:c r="P18" s="5">
        <s:f>INDEX(Assumptions!$B$30:$D$30,1,B18)</s:f>
        <s:v>15500.0</s:v>
      </s:c>
      <s:c r="Q18" s="5">
        <s:f>Acquisition!C18</s:f>
        <s:v>0</s:v>
      </s:c>
      <s:c r="R18" s="5">
        <s:f>O18-P18-Q18</s:f>
        <s:v>5084.072751833173</s:v>
      </s:c>
      <s:c r="S18" s="5">
        <s:f>0</s:f>
        <s:v>0</s:v>
      </s:c>
      <s:c r="T18" s="5">
        <s:f>R18-S18</s:f>
        <s:v>5084.072751833173</s:v>
      </s:c>
      <s:c r="U18" s="5">
        <s:f>U17+T18</s:f>
        <s:v>85142.65016017454</s:v>
      </s:c>
      <s:c r="V18" s="5">
        <s:f>F18*Assumptions!$B$9</s:f>
        <s:v>28091.106645001437</s:v>
      </s:c>
      <s:c r="W18" s="5">
        <s:f>V18*12</s:f>
        <s:v>337093.27974001726</s:v>
      </s:c>
    </s:row>
    <s:row r="19">
      <s:c r="A19" s="2" t="n">
        <s:v>18</s:v>
      </s:c>
      <s:c r="B19" s="4">
        <s:f>INT((A19-1)/12)+1</s:f>
        <s:v>2</s:v>
      </s:c>
      <s:c r="C19" s="5">
        <s:f>F18</s:f>
        <s:v>222.064084150209</s:v>
      </s:c>
      <s:c r="D19" s="5">
        <s:f>C19*Assumptions!$B$10</s:f>
        <s:v>4.44128168300418</s:v>
      </s:c>
      <s:c r="E19" s="5">
        <s:f>Acquisition!B19*1</s:f>
        <s:v>25</s:v>
      </s:c>
      <s:c r="F19" s="5">
        <s:f>C19-D19+E19</s:f>
        <s:v>242.62280246720482</s:v>
      </s:c>
      <s:c r="G19" s="5">
        <s:f>C19-D19+E19/2</s:f>
        <s:v>230.12280246720482</s:v>
      </s:c>
      <s:c r="H19" s="5">
        <s:f>G19*Assumptions!$B$9</s:f>
        <s:v>29110.53451210141</s:v>
      </s:c>
      <s:c r="I19" s="5">
        <s:f>H19*Assumptions!$B$11</s:f>
        <s:v>291.1053451210141</s:v>
      </s:c>
      <s:c r="J19" s="5">
        <s:f>H19-I19</s:f>
        <s:v>28819.429166980397</s:v>
      </s:c>
      <s:c r="K19" s="5">
        <s:f>H19*Assumptions!$B$12+G19*Assumptions!$B$13</s:f>
        <s:v>1117.0160831758121</s:v>
      </s:c>
      <s:c r="L19" s="5">
        <s:f>G19*(Assumptions!$B$14+Assumptions!$B$15)</s:f>
        <s:v>3451.842037008072</s:v>
      </s:c>
      <s:c r="M19" s="5">
        <s:f>E19*Assumptions!$B$16</s:f>
        <s:v>1500</s:v>
      </s:c>
      <s:c r="N19" s="5">
        <s:f>SUM(K19:M19)</s:f>
        <s:v>6068.858120183884</s:v>
      </s:c>
      <s:c r="O19" s="5">
        <s:f>J19-N19</s:f>
        <s:v>22750.57104679651</s:v>
      </s:c>
      <s:c r="P19" s="5">
        <s:f>INDEX(Assumptions!$B$30:$D$30,1,B19)</s:f>
        <s:v>15500.0</s:v>
      </s:c>
      <s:c r="Q19" s="5">
        <s:f>Acquisition!C19</s:f>
        <s:v>0</s:v>
      </s:c>
      <s:c r="R19" s="5">
        <s:f>O19-P19-Q19</s:f>
        <s:v>7250.571046796511</s:v>
      </s:c>
      <s:c r="S19" s="5">
        <s:f>0</s:f>
        <s:v>0</s:v>
      </s:c>
      <s:c r="T19" s="5">
        <s:f>R19-S19</s:f>
        <s:v>7250.571046796511</s:v>
      </s:c>
      <s:c r="U19" s="5">
        <s:f>U18+T19</s:f>
        <s:v>92393.22120697105</s:v>
      </s:c>
      <s:c r="V19" s="5">
        <s:f>F19*Assumptions!$B$9</s:f>
        <s:v>30691.78451210141</s:v>
      </s:c>
      <s:c r="W19" s="5">
        <s:f>V19*12</s:f>
        <s:v>368301.4141452169</s:v>
      </s:c>
    </s:row>
    <s:row r="20">
      <s:c r="A20" s="2" t="n">
        <s:v>19</s:v>
      </s:c>
      <s:c r="B20" s="4">
        <s:f>INT((A20-1)/12)+1</s:f>
        <s:v>2</s:v>
      </s:c>
      <s:c r="C20" s="5">
        <s:f>F19</s:f>
        <s:v>242.62280246720482</s:v>
      </s:c>
      <s:c r="D20" s="5">
        <s:f>C20*Assumptions!$B$10</s:f>
        <s:v>4.852456049344097</s:v>
      </s:c>
      <s:c r="E20" s="5">
        <s:f>Acquisition!B20*1</s:f>
        <s:v>25</s:v>
      </s:c>
      <s:c r="F20" s="5">
        <s:f>C20-D20+E20</s:f>
        <s:v>262.77034641786076</s:v>
      </s:c>
      <s:c r="G20" s="5">
        <s:f>C20-D20+E20/2</s:f>
        <s:v>250.27034641786074</s:v>
      </s:c>
      <s:c r="H20" s="5">
        <s:f>G20*Assumptions!$B$9</s:f>
        <s:v>31659.198821859383</s:v>
      </s:c>
      <s:c r="I20" s="5">
        <s:f>H20*Assumptions!$B$11</s:f>
        <s:v>316.5919882185938</s:v>
      </s:c>
      <s:c r="J20" s="5">
        <s:f>H20-I20</s:f>
        <s:v>31342.606833640788</s:v>
      </s:c>
      <s:c r="K20" s="5">
        <s:f>H20*Assumptions!$B$12+G20*Assumptions!$B$13</s:f>
        <s:v>1214.8122615122961</s:v>
      </s:c>
      <s:c r="L20" s="5">
        <s:f>G20*(Assumptions!$B$14+Assumptions!$B$15)</s:f>
        <s:v>3754.055196267911</s:v>
      </s:c>
      <s:c r="M20" s="5">
        <s:f>E20*Assumptions!$B$16</s:f>
        <s:v>1500</s:v>
      </s:c>
      <s:c r="N20" s="5">
        <s:f>SUM(K20:M20)</s:f>
        <s:v>6468.867457780207</s:v>
      </s:c>
      <s:c r="O20" s="5">
        <s:f>J20-N20</s:f>
        <s:v>24873.739375860583</s:v>
      </s:c>
      <s:c r="P20" s="5">
        <s:f>INDEX(Assumptions!$B$30:$D$30,1,B20)</s:f>
        <s:v>15500.0</s:v>
      </s:c>
      <s:c r="Q20" s="5">
        <s:f>Acquisition!C20</s:f>
        <s:v>0</s:v>
      </s:c>
      <s:c r="R20" s="5">
        <s:f>O20-P20-Q20</s:f>
        <s:v>9373.739375860583</s:v>
      </s:c>
      <s:c r="S20" s="5">
        <s:f>0</s:f>
        <s:v>0</s:v>
      </s:c>
      <s:c r="T20" s="5">
        <s:f>R20-S20</s:f>
        <s:v>9373.739375860583</s:v>
      </s:c>
      <s:c r="U20" s="5">
        <s:f>U19+T20</s:f>
        <s:v>101766.96058283164</s:v>
      </s:c>
      <s:c r="V20" s="5">
        <s:f>F20*Assumptions!$B$9</s:f>
        <s:v>33240.44882185938</s:v>
      </s:c>
      <s:c r="W20" s="5">
        <s:f>V20*12</s:f>
        <s:v>398885.3858623126</s:v>
      </s:c>
    </s:row>
    <s:row r="21">
      <s:c r="A21" s="2" t="n">
        <s:v>20</s:v>
      </s:c>
      <s:c r="B21" s="4">
        <s:f>INT((A21-1)/12)+1</s:f>
        <s:v>2</s:v>
      </s:c>
      <s:c r="C21" s="5">
        <s:f>F20</s:f>
        <s:v>262.77034641786076</s:v>
      </s:c>
      <s:c r="D21" s="5">
        <s:f>C21*Assumptions!$B$10</s:f>
        <s:v>5.255406928357216</s:v>
      </s:c>
      <s:c r="E21" s="5">
        <s:f>Acquisition!B21*1</s:f>
        <s:v>25</s:v>
      </s:c>
      <s:c r="F21" s="5">
        <s:f>C21-D21+E21</s:f>
        <s:v>282.51493948950355</s:v>
      </s:c>
      <s:c r="G21" s="5">
        <s:f>C21-D21+E21/2</s:f>
        <s:v>270.01493948950355</s:v>
      </s:c>
      <s:c r="H21" s="5">
        <s:f>G21*Assumptions!$B$9</s:f>
        <s:v>34156.8898454222</s:v>
      </s:c>
      <s:c r="I21" s="5">
        <s:f>H21*Assumptions!$B$11</s:f>
        <s:v>341.568898454222</s:v>
      </s:c>
      <s:c r="J21" s="5">
        <s:f>H21-I21</s:f>
        <s:v>33815.32094696798</s:v>
      </s:c>
      <s:c r="K21" s="5">
        <s:f>H21*Assumptions!$B$12+G21*Assumptions!$B$13</s:f>
        <s:v>1310.6525162820503</s:v>
      </s:c>
      <s:c r="L21" s="5">
        <s:f>G21*(Assumptions!$B$14+Assumptions!$B$15)</s:f>
        <s:v>4050.2240923425534</s:v>
      </s:c>
      <s:c r="M21" s="5">
        <s:f>E21*Assumptions!$B$16</s:f>
        <s:v>1500</s:v>
      </s:c>
      <s:c r="N21" s="5">
        <s:f>SUM(K21:M21)</s:f>
        <s:v>6860.876608624603</s:v>
      </s:c>
      <s:c r="O21" s="5">
        <s:f>J21-N21</s:f>
        <s:v>26954.444338343375</s:v>
      </s:c>
      <s:c r="P21" s="5">
        <s:f>INDEX(Assumptions!$B$30:$D$30,1,B21)</s:f>
        <s:v>15500.0</s:v>
      </s:c>
      <s:c r="Q21" s="5">
        <s:f>Acquisition!C21</s:f>
        <s:v>0</s:v>
      </s:c>
      <s:c r="R21" s="5">
        <s:f>O21-P21-Q21</s:f>
        <s:v>11454.444338343375</s:v>
      </s:c>
      <s:c r="S21" s="5">
        <s:f>0</s:f>
        <s:v>0</s:v>
      </s:c>
      <s:c r="T21" s="5">
        <s:f>R21-S21</s:f>
        <s:v>11454.444338343375</s:v>
      </s:c>
      <s:c r="U21" s="5">
        <s:f>U20+T21</s:f>
        <s:v>113221.40492117501</s:v>
      </s:c>
      <s:c r="V21" s="5">
        <s:f>F21*Assumptions!$B$9</s:f>
        <s:v>35738.1398454222</s:v>
      </s:c>
      <s:c r="W21" s="5">
        <s:f>V21*12</s:f>
        <s:v>428857.67814506637</s:v>
      </s:c>
    </s:row>
    <s:row r="22">
      <s:c r="A22" s="2" t="n">
        <s:v>21</s:v>
      </s:c>
      <s:c r="B22" s="4">
        <s:f>INT((A22-1)/12)+1</s:f>
        <s:v>2</s:v>
      </s:c>
      <s:c r="C22" s="5">
        <s:f>F21</s:f>
        <s:v>282.51493948950355</s:v>
      </s:c>
      <s:c r="D22" s="5">
        <s:f>C22*Assumptions!$B$10</s:f>
        <s:v>5.650298789790071</s:v>
      </s:c>
      <s:c r="E22" s="5">
        <s:f>Acquisition!B22*1</s:f>
        <s:v>25</s:v>
      </s:c>
      <s:c r="F22" s="5">
        <s:f>C22-D22+E22</s:f>
        <s:v>301.8646406997135</s:v>
      </s:c>
      <s:c r="G22" s="5">
        <s:f>C22-D22+E22/2</s:f>
        <s:v>289.3646406997135</s:v>
      </s:c>
      <s:c r="H22" s="5">
        <s:f>G22*Assumptions!$B$9</s:f>
        <s:v>36604.62704851376</s:v>
      </s:c>
      <s:c r="I22" s="5">
        <s:f>H22*Assumptions!$B$11</s:f>
        <s:v>366.0462704851376</s:v>
      </s:c>
      <s:c r="J22" s="5">
        <s:f>H22-I22</s:f>
        <s:v>36238.58077802862</s:v>
      </s:c>
      <s:c r="K22" s="5">
        <s:f>H22*Assumptions!$B$12+G22*Assumptions!$B$13</s:f>
        <s:v>1404.5759659564092</s:v>
      </s:c>
      <s:c r="L22" s="5">
        <s:f>G22*(Assumptions!$B$14+Assumptions!$B$15)</s:f>
        <s:v>4340.469610495703</s:v>
      </s:c>
      <s:c r="M22" s="5">
        <s:f>E22*Assumptions!$B$16</s:f>
        <s:v>1500</s:v>
      </s:c>
      <s:c r="N22" s="5">
        <s:f>SUM(K22:M22)</s:f>
        <s:v>7245.045576452112</s:v>
      </s:c>
      <s:c r="O22" s="5">
        <s:f>J22-N22</s:f>
        <s:v>28993.53520157651</s:v>
      </s:c>
      <s:c r="P22" s="5">
        <s:f>INDEX(Assumptions!$B$30:$D$30,1,B22)</s:f>
        <s:v>15500.0</s:v>
      </s:c>
      <s:c r="Q22" s="5">
        <s:f>Acquisition!C22</s:f>
        <s:v>0</s:v>
      </s:c>
      <s:c r="R22" s="5">
        <s:f>O22-P22-Q22</s:f>
        <s:v>13493.53520157651</s:v>
      </s:c>
      <s:c r="S22" s="5">
        <s:f>0</s:f>
        <s:v>0</s:v>
      </s:c>
      <s:c r="T22" s="5">
        <s:f>R22-S22</s:f>
        <s:v>13493.53520157651</s:v>
      </s:c>
      <s:c r="U22" s="5">
        <s:f>U21+T22</s:f>
        <s:v>126714.94012275152</s:v>
      </s:c>
      <s:c r="V22" s="5">
        <s:f>F22*Assumptions!$B$9</s:f>
        <s:v>38185.87704851376</s:v>
      </s:c>
      <s:c r="W22" s="5">
        <s:f>V22*12</s:f>
        <s:v>458230.52458216506</s:v>
      </s:c>
    </s:row>
    <s:row r="23">
      <s:c r="A23" s="2" t="n">
        <s:v>22</s:v>
      </s:c>
      <s:c r="B23" s="4">
        <s:f>INT((A23-1)/12)+1</s:f>
        <s:v>2</s:v>
      </s:c>
      <s:c r="C23" s="5">
        <s:f>F22</s:f>
        <s:v>301.8646406997135</s:v>
      </s:c>
      <s:c r="D23" s="5">
        <s:f>C23*Assumptions!$B$10</s:f>
        <s:v>6.03729281399427</s:v>
      </s:c>
      <s:c r="E23" s="5">
        <s:f>Acquisition!B23*1</s:f>
        <s:v>25</s:v>
      </s:c>
      <s:c r="F23" s="5">
        <s:f>C23-D23+E23</s:f>
        <s:v>320.82734788571923</s:v>
      </s:c>
      <s:c r="G23" s="5">
        <s:f>C23-D23+E23/2</s:f>
        <s:v>308.32734788571923</s:v>
      </s:c>
      <s:c r="H23" s="5">
        <s:f>G23*Assumptions!$B$9</s:f>
        <s:v>39003.40950754348</s:v>
      </s:c>
      <s:c r="I23" s="5">
        <s:f>H23*Assumptions!$B$11</s:f>
        <s:v>390.03409507543483</s:v>
      </s:c>
      <s:c r="J23" s="5">
        <s:f>H23-I23</s:f>
        <s:v>38613.37541246805</s:v>
      </s:c>
      <s:c r="K23" s="5">
        <s:f>H23*Assumptions!$B$12+G23*Assumptions!$B$13</s:f>
        <s:v>1496.620946637281</s:v>
      </s:c>
      <s:c r="L23" s="5">
        <s:f>G23*(Assumptions!$B$14+Assumptions!$B$15)</s:f>
        <s:v>4624.910218285789</s:v>
      </s:c>
      <s:c r="M23" s="5">
        <s:f>E23*Assumptions!$B$16</s:f>
        <s:v>1500</s:v>
      </s:c>
      <s:c r="N23" s="5">
        <s:f>SUM(K23:M23)</s:f>
        <s:v>7621.53116492307</s:v>
      </s:c>
      <s:c r="O23" s="5">
        <s:f>J23-N23</s:f>
        <s:v>30991.844247544977</s:v>
      </s:c>
      <s:c r="P23" s="5">
        <s:f>INDEX(Assumptions!$B$30:$D$30,1,B23)</s:f>
        <s:v>15500.0</s:v>
      </s:c>
      <s:c r="Q23" s="5">
        <s:f>Acquisition!C23</s:f>
        <s:v>0</s:v>
      </s:c>
      <s:c r="R23" s="5">
        <s:f>O23-P23-Q23</s:f>
        <s:v>15491.844247544977</s:v>
      </s:c>
      <s:c r="S23" s="5">
        <s:f>0</s:f>
        <s:v>0</s:v>
      </s:c>
      <s:c r="T23" s="5">
        <s:f>R23-S23</s:f>
        <s:v>15491.844247544977</s:v>
      </s:c>
      <s:c r="U23" s="5">
        <s:f>U22+T23</s:f>
        <s:v>142206.7843702965</s:v>
      </s:c>
      <s:c r="V23" s="5">
        <s:f>F23*Assumptions!$B$9</s:f>
        <s:v>40584.65950754348</s:v>
      </s:c>
      <s:c r="W23" s="5">
        <s:f>V23*12</s:f>
        <s:v>487015.91409052175</s:v>
      </s:c>
    </s:row>
    <s:row r="24">
      <s:c r="A24" s="2" t="n">
        <s:v>23</s:v>
      </s:c>
      <s:c r="B24" s="4">
        <s:f>INT((A24-1)/12)+1</s:f>
        <s:v>2</s:v>
      </s:c>
      <s:c r="C24" s="5">
        <s:f>F23</s:f>
        <s:v>320.82734788571923</s:v>
      </s:c>
      <s:c r="D24" s="5">
        <s:f>C24*Assumptions!$B$10</s:f>
        <s:v>6.4165469577143845</s:v>
      </s:c>
      <s:c r="E24" s="5">
        <s:f>Acquisition!B24*1</s:f>
        <s:v>25</s:v>
      </s:c>
      <s:c r="F24" s="5">
        <s:f>C24-D24+E24</s:f>
        <s:v>339.41080092800485</s:v>
      </s:c>
      <s:c r="G24" s="5">
        <s:f>C24-D24+E24/2</s:f>
        <s:v>326.91080092800485</s:v>
      </s:c>
      <s:c r="H24" s="5">
        <s:f>G24*Assumptions!$B$9</s:f>
        <s:v>41354.21631739262</s:v>
      </s:c>
      <s:c r="I24" s="5">
        <s:f>H24*Assumptions!$B$11</s:f>
        <s:v>413.54216317392616</s:v>
      </s:c>
      <s:c r="J24" s="5">
        <s:f>H24-I24</s:f>
        <s:v>40940.674154218694</s:v>
      </s:c>
      <s:c r="K24" s="5">
        <s:f>H24*Assumptions!$B$12+G24*Assumptions!$B$13</s:f>
        <s:v>1586.8250277045356</s:v>
      </s:c>
      <s:c r="L24" s="5">
        <s:f>G24*(Assumptions!$B$14+Assumptions!$B$15)</s:f>
        <s:v>4903.662013920073</s:v>
      </s:c>
      <s:c r="M24" s="5">
        <s:f>E24*Assumptions!$B$16</s:f>
        <s:v>1500</s:v>
      </s:c>
      <s:c r="N24" s="5">
        <s:f>SUM(K24:M24)</s:f>
        <s:v>7990.4870416246085</s:v>
      </s:c>
      <s:c r="O24" s="5">
        <s:f>J24-N24</s:f>
        <s:v>32950.18711259408</s:v>
      </s:c>
      <s:c r="P24" s="5">
        <s:f>INDEX(Assumptions!$B$30:$D$30,1,B24)</s:f>
        <s:v>15500.0</s:v>
      </s:c>
      <s:c r="Q24" s="5">
        <s:f>Acquisition!C24</s:f>
        <s:v>0</s:v>
      </s:c>
      <s:c r="R24" s="5">
        <s:f>O24-P24-Q24</s:f>
        <s:v>17450.18711259408</s:v>
      </s:c>
      <s:c r="S24" s="5">
        <s:f>0</s:f>
        <s:v>0</s:v>
      </s:c>
      <s:c r="T24" s="5">
        <s:f>R24-S24</s:f>
        <s:v>17450.18711259408</s:v>
      </s:c>
      <s:c r="U24" s="5">
        <s:f>U23+T24</s:f>
        <s:v>159656.97148289057</s:v>
      </s:c>
      <s:c r="V24" s="5">
        <s:f>F24*Assumptions!$B$9</s:f>
        <s:v>42935.46631739262</s:v>
      </s:c>
      <s:c r="W24" s="5">
        <s:f>V24*12</s:f>
        <s:v>515225.59580871137</s:v>
      </s:c>
    </s:row>
    <s:row r="25">
      <s:c r="A25" s="2" t="n">
        <s:v>24</s:v>
      </s:c>
      <s:c r="B25" s="4">
        <s:f>INT((A25-1)/12)+1</s:f>
        <s:v>2</s:v>
      </s:c>
      <s:c r="C25" s="5">
        <s:f>F24</s:f>
        <s:v>339.41080092800485</s:v>
      </s:c>
      <s:c r="D25" s="5">
        <s:f>C25*Assumptions!$B$10</s:f>
        <s:v>6.788216018560097</s:v>
      </s:c>
      <s:c r="E25" s="5">
        <s:f>Acquisition!B25*1</s:f>
        <s:v>25</s:v>
      </s:c>
      <s:c r="F25" s="5">
        <s:f>C25-D25+E25</s:f>
        <s:v>357.62258490944475</s:v>
      </s:c>
      <s:c r="G25" s="5">
        <s:f>C25-D25+E25/2</s:f>
        <s:v>345.12258490944475</s:v>
      </s:c>
      <s:c r="H25" s="5">
        <s:f>G25*Assumptions!$B$9</s:f>
        <s:v>43658.006991044764</s:v>
      </s:c>
      <s:c r="I25" s="5">
        <s:f>H25*Assumptions!$B$11</s:f>
        <s:v>436.58006991044766</s:v>
      </s:c>
      <s:c r="J25" s="5">
        <s:f>H25-I25</s:f>
        <s:v>43221.42692113431</s:v>
      </s:c>
      <s:c r="K25" s="5">
        <s:f>H25*Assumptions!$B$12+G25*Assumptions!$B$13</s:f>
        <s:v>1675.2250271504447</s:v>
      </s:c>
      <s:c r="L25" s="5">
        <s:f>G25*(Assumptions!$B$14+Assumptions!$B$15)</s:f>
        <s:v>5176.838773641672</s:v>
      </s:c>
      <s:c r="M25" s="5">
        <s:f>E25*Assumptions!$B$16</s:f>
        <s:v>1500</s:v>
      </s:c>
      <s:c r="N25" s="5">
        <s:f>SUM(K25:M25)</s:f>
        <s:v>8352.063800792115</s:v>
      </s:c>
      <s:c r="O25" s="5">
        <s:f>J25-N25</s:f>
        <s:v>34869.3631203422</s:v>
      </s:c>
      <s:c r="P25" s="5">
        <s:f>INDEX(Assumptions!$B$30:$D$30,1,B25)</s:f>
        <s:v>15500.0</s:v>
      </s:c>
      <s:c r="Q25" s="5">
        <s:f>Acquisition!C25</s:f>
        <s:v>0</s:v>
      </s:c>
      <s:c r="R25" s="5">
        <s:f>O25-P25-Q25</s:f>
        <s:v>19369.363120342197</s:v>
      </s:c>
      <s:c r="S25" s="5">
        <s:f>MAX(SUM(R14:R25),0)*Assumptions!$B$17</s:f>
        <s:v>24185.28359851569</s:v>
      </s:c>
      <s:c r="T25" s="5">
        <s:f>R25-S25</s:f>
        <s:v>-4815.920478173492</s:v>
      </s:c>
      <s:c r="U25" s="5">
        <s:f>U24+T25</s:f>
        <s:v>154841.05100471707</s:v>
      </s:c>
      <s:c r="V25" s="5">
        <s:f>F25*Assumptions!$B$9</s:f>
        <s:v>45239.256991044764</s:v>
      </s:c>
      <s:c r="W25" s="5">
        <s:f>V25*12</s:f>
        <s:v>542871.0838925372</s:v>
      </s:c>
    </s:row>
    <s:row r="26">
      <s:c r="A26" s="2" t="n">
        <s:v>25</s:v>
      </s:c>
      <s:c r="B26" s="4">
        <s:f>INT((A26-1)/12)+1</s:f>
        <s:v>3</s:v>
      </s:c>
      <s:c r="C26" s="5">
        <s:f>F25</s:f>
        <s:v>357.62258490944475</s:v>
      </s:c>
      <s:c r="D26" s="5">
        <s:f>C26*Assumptions!$B$10</s:f>
        <s:v>7.152451698188895</s:v>
      </s:c>
      <s:c r="E26" s="5">
        <s:f>Acquisition!B26*1</s:f>
        <s:v>40</s:v>
      </s:c>
      <s:c r="F26" s="5">
        <s:f>C26-D26+E26</s:f>
        <s:v>390.47013321125587</s:v>
      </s:c>
      <s:c r="G26" s="5">
        <s:f>C26-D26+E26/2</s:f>
        <s:v>370.47013321125587</s:v>
      </s:c>
      <s:c r="H26" s="5">
        <s:f>G26*Assumptions!$B$9</s:f>
        <s:v>46864.47185122387</s:v>
      </s:c>
      <s:c r="I26" s="5">
        <s:f>H26*Assumptions!$B$11</s:f>
        <s:v>468.6447185122387</s:v>
      </s:c>
      <s:c r="J26" s="5">
        <s:f>H26-I26</s:f>
        <s:v>46395.82713271163</s:v>
      </s:c>
      <s:c r="K26" s="5">
        <s:f>H26*Assumptions!$B$12+G26*Assumptions!$B$13</s:f>
        <s:v>1798.262026607436</s:v>
      </s:c>
      <s:c r="L26" s="5">
        <s:f>G26*(Assumptions!$B$14+Assumptions!$B$15)</s:f>
        <s:v>5557.051998168838</s:v>
      </s:c>
      <s:c r="M26" s="5">
        <s:f>E26*Assumptions!$B$16</s:f>
        <s:v>2400</s:v>
      </s:c>
      <s:c r="N26" s="5">
        <s:f>SUM(K26:M26)</s:f>
        <s:v>9755.314024776273</s:v>
      </s:c>
      <s:c r="O26" s="5">
        <s:f>J26-N26</s:f>
        <s:v>36640.51310793536</s:v>
      </s:c>
      <s:c r="P26" s="5">
        <s:f>INDEX(Assumptions!$B$30:$D$30,1,B26)</s:f>
        <s:v>22000.0</s:v>
      </s:c>
      <s:c r="Q26" s="5">
        <s:f>Acquisition!C26</s:f>
        <s:v>0</s:v>
      </s:c>
      <s:c r="R26" s="5">
        <s:f>O26-P26-Q26</s:f>
        <s:v>14640.51310793536</s:v>
      </s:c>
      <s:c r="S26" s="5">
        <s:f>0</s:f>
        <s:v>0</s:v>
      </s:c>
      <s:c r="T26" s="5">
        <s:f>R26-S26</s:f>
        <s:v>14640.51310793536</s:v>
      </s:c>
      <s:c r="U26" s="5">
        <s:f>U25+T26</s:f>
        <s:v>169481.56411265244</s:v>
      </s:c>
      <s:c r="V26" s="5">
        <s:f>F26*Assumptions!$B$9</s:f>
        <s:v>49394.47185122387</s:v>
      </s:c>
      <s:c r="W26" s="5">
        <s:f>V26*12</s:f>
        <s:v>592733.6622146864</s:v>
      </s:c>
    </s:row>
    <s:row r="27">
      <s:c r="A27" s="2" t="n">
        <s:v>26</s:v>
      </s:c>
      <s:c r="B27" s="4">
        <s:f>INT((A27-1)/12)+1</s:f>
        <s:v>3</s:v>
      </s:c>
      <s:c r="C27" s="5">
        <s:f>F26</s:f>
        <s:v>390.47013321125587</s:v>
      </s:c>
      <s:c r="D27" s="5">
        <s:f>C27*Assumptions!$B$10</s:f>
        <s:v>7.809402664225118</s:v>
      </s:c>
      <s:c r="E27" s="5">
        <s:f>Acquisition!B27*1</s:f>
        <s:v>40</s:v>
      </s:c>
      <s:c r="F27" s="5">
        <s:f>C27-D27+E27</s:f>
        <s:v>422.66073054703077</s:v>
      </s:c>
      <s:c r="G27" s="5">
        <s:f>C27-D27+E27/2</s:f>
        <s:v>402.66073054703077</s:v>
      </s:c>
      <s:c r="H27" s="5">
        <s:f>G27*Assumptions!$B$9</s:f>
        <s:v>50936.582414199394</s:v>
      </s:c>
      <s:c r="I27" s="5">
        <s:f>H27*Assumptions!$B$11</s:f>
        <s:v>509.365824141994</s:v>
      </s:c>
      <s:c r="J27" s="5">
        <s:f>H27-I27</s:f>
        <s:v>50427.216590057404</s:v>
      </s:c>
      <s:c r="K27" s="5">
        <s:f>H27*Assumptions!$B$12+G27*Assumptions!$B$13</s:f>
        <s:v>1954.5151860752874</s:v>
      </s:c>
      <s:c r="L27" s="5">
        <s:f>G27*(Assumptions!$B$14+Assumptions!$B$15)</s:f>
        <s:v>6039.910958205462</s:v>
      </s:c>
      <s:c r="M27" s="5">
        <s:f>E27*Assumptions!$B$16</s:f>
        <s:v>2400</s:v>
      </s:c>
      <s:c r="N27" s="5">
        <s:f>SUM(K27:M27)</s:f>
        <s:v>10394.42614428075</s:v>
      </s:c>
      <s:c r="O27" s="5">
        <s:f>J27-N27</s:f>
        <s:v>40032.790445776656</s:v>
      </s:c>
      <s:c r="P27" s="5">
        <s:f>INDEX(Assumptions!$B$30:$D$30,1,B27)</s:f>
        <s:v>22000.0</s:v>
      </s:c>
      <s:c r="Q27" s="5">
        <s:f>Acquisition!C27</s:f>
        <s:v>0</s:v>
      </s:c>
      <s:c r="R27" s="5">
        <s:f>O27-P27-Q27</s:f>
        <s:v>18032.790445776656</s:v>
      </s:c>
      <s:c r="S27" s="5">
        <s:f>0</s:f>
        <s:v>0</s:v>
      </s:c>
      <s:c r="T27" s="5">
        <s:f>R27-S27</s:f>
        <s:v>18032.790445776656</s:v>
      </s:c>
      <s:c r="U27" s="5">
        <s:f>U26+T27</s:f>
        <s:v>187514.3545584291</s:v>
      </s:c>
      <s:c r="V27" s="5">
        <s:f>F27*Assumptions!$B$9</s:f>
        <s:v>53466.582414199394</s:v>
      </s:c>
      <s:c r="W27" s="5">
        <s:f>V27*12</s:f>
        <s:v>641598.9889703927</s:v>
      </s:c>
    </s:row>
    <s:row r="28">
      <s:c r="A28" s="2" t="n">
        <s:v>27</s:v>
      </s:c>
      <s:c r="B28" s="4">
        <s:f>INT((A28-1)/12)+1</s:f>
        <s:v>3</s:v>
      </s:c>
      <s:c r="C28" s="5">
        <s:f>F27</s:f>
        <s:v>422.66073054703077</s:v>
      </s:c>
      <s:c r="D28" s="5">
        <s:f>C28*Assumptions!$B$10</s:f>
        <s:v>8.453214610940616</s:v>
      </s:c>
      <s:c r="E28" s="5">
        <s:f>Acquisition!B28*1</s:f>
        <s:v>40</s:v>
      </s:c>
      <s:c r="F28" s="5">
        <s:f>C28-D28+E28</s:f>
        <s:v>454.20751593609015</s:v>
      </s:c>
      <s:c r="G28" s="5">
        <s:f>C28-D28+E28/2</s:f>
        <s:v>434.20751593609015</s:v>
      </s:c>
      <s:c r="H28" s="5">
        <s:f>G28*Assumptions!$B$9</s:f>
        <s:v>54927.25076591541</s:v>
      </s:c>
      <s:c r="I28" s="5">
        <s:f>H28*Assumptions!$B$11</s:f>
        <s:v>549.272507659154</s:v>
      </s:c>
      <s:c r="J28" s="5">
        <s:f>H28-I28</s:f>
        <s:v>54377.978258256255</s:v>
      </s:c>
      <s:c r="K28" s="5">
        <s:f>H28*Assumptions!$B$12+G28*Assumptions!$B$13</s:f>
        <s:v>2107.6432823537816</s:v>
      </s:c>
      <s:c r="L28" s="5">
        <s:f>G28*(Assumptions!$B$14+Assumptions!$B$15)</s:f>
        <s:v>6513.112739041352</s:v>
      </s:c>
      <s:c r="M28" s="5">
        <s:f>E28*Assumptions!$B$16</s:f>
        <s:v>2400</s:v>
      </s:c>
      <s:c r="N28" s="5">
        <s:f>SUM(K28:M28)</s:f>
        <s:v>11020.756021395133</s:v>
      </s:c>
      <s:c r="O28" s="5">
        <s:f>J28-N28</s:f>
        <s:v>43357.222236861126</s:v>
      </s:c>
      <s:c r="P28" s="5">
        <s:f>INDEX(Assumptions!$B$30:$D$30,1,B28)</s:f>
        <s:v>22000.0</s:v>
      </s:c>
      <s:c r="Q28" s="5">
        <s:f>Acquisition!C28</s:f>
        <s:v>0</s:v>
      </s:c>
      <s:c r="R28" s="5">
        <s:f>O28-P28-Q28</s:f>
        <s:v>21357.222236861126</s:v>
      </s:c>
      <s:c r="S28" s="5">
        <s:f>0</s:f>
        <s:v>0</s:v>
      </s:c>
      <s:c r="T28" s="5">
        <s:f>R28-S28</s:f>
        <s:v>21357.222236861126</s:v>
      </s:c>
      <s:c r="U28" s="5">
        <s:f>U27+T28</s:f>
        <s:v>208871.57679529022</s:v>
      </s:c>
      <s:c r="V28" s="5">
        <s:f>F28*Assumptions!$B$9</s:f>
        <s:v>57457.25076591541</s:v>
      </s:c>
      <s:c r="W28" s="5">
        <s:f>V28*12</s:f>
        <s:v>689487.0091909849</s:v>
      </s:c>
    </s:row>
    <s:row r="29">
      <s:c r="A29" s="2" t="n">
        <s:v>28</s:v>
      </s:c>
      <s:c r="B29" s="4">
        <s:f>INT((A29-1)/12)+1</s:f>
        <s:v>3</s:v>
      </s:c>
      <s:c r="C29" s="5">
        <s:f>F28</s:f>
        <s:v>454.20751593609015</s:v>
      </s:c>
      <s:c r="D29" s="5">
        <s:f>C29*Assumptions!$B$10</s:f>
        <s:v>9.084150318721804</s:v>
      </s:c>
      <s:c r="E29" s="5">
        <s:f>Acquisition!B29*1</s:f>
        <s:v>40</s:v>
      </s:c>
      <s:c r="F29" s="5">
        <s:f>C29-D29+E29</s:f>
        <s:v>485.12336561736834</s:v>
      </s:c>
      <s:c r="G29" s="5">
        <s:f>C29-D29+E29/2</s:f>
        <s:v>465.12336561736834</s:v>
      </s:c>
      <s:c r="H29" s="5">
        <s:f>G29*Assumptions!$B$9</s:f>
        <s:v>58838.1057505971</s:v>
      </s:c>
      <s:c r="I29" s="5">
        <s:f>H29*Assumptions!$B$11</s:f>
        <s:v>588.381057505971</s:v>
      </s:c>
      <s:c r="J29" s="5">
        <s:f>H29-I29</s:f>
        <s:v>58249.72469309113</s:v>
      </s:c>
      <s:c r="K29" s="5">
        <s:f>H29*Assumptions!$B$12+G29*Assumptions!$B$13</s:f>
        <s:v>2257.708816706706</s:v>
      </s:c>
      <s:c r="L29" s="5">
        <s:f>G29*(Assumptions!$B$14+Assumptions!$B$15)</s:f>
        <s:v>6976.850484260525</s:v>
      </s:c>
      <s:c r="M29" s="5">
        <s:f>E29*Assumptions!$B$16</s:f>
        <s:v>2400</s:v>
      </s:c>
      <s:c r="N29" s="5">
        <s:f>SUM(K29:M29)</s:f>
        <s:v>11634.55930096723</s:v>
      </s:c>
      <s:c r="O29" s="5">
        <s:f>J29-N29</s:f>
        <s:v>46615.1653921239</s:v>
      </s:c>
      <s:c r="P29" s="5">
        <s:f>INDEX(Assumptions!$B$30:$D$30,1,B29)</s:f>
        <s:v>22000.0</s:v>
      </s:c>
      <s:c r="Q29" s="5">
        <s:f>Acquisition!C29</s:f>
        <s:v>0</s:v>
      </s:c>
      <s:c r="R29" s="5">
        <s:f>O29-P29-Q29</s:f>
        <s:v>24615.165392123898</s:v>
      </s:c>
      <s:c r="S29" s="5">
        <s:f>0</s:f>
        <s:v>0</s:v>
      </s:c>
      <s:c r="T29" s="5">
        <s:f>R29-S29</s:f>
        <s:v>24615.165392123898</s:v>
      </s:c>
      <s:c r="U29" s="5">
        <s:f>U28+T29</s:f>
        <s:v>233486.74218741411</s:v>
      </s:c>
      <s:c r="V29" s="5">
        <s:f>F29*Assumptions!$B$9</s:f>
        <s:v>61368.1057505971</s:v>
      </s:c>
      <s:c r="W29" s="5">
        <s:f>V29*12</s:f>
        <s:v>736417.2690071652</s:v>
      </s:c>
    </s:row>
    <s:row r="30">
      <s:c r="A30" s="2" t="n">
        <s:v>29</s:v>
      </s:c>
      <s:c r="B30" s="4">
        <s:f>INT((A30-1)/12)+1</s:f>
        <s:v>3</s:v>
      </s:c>
      <s:c r="C30" s="5">
        <s:f>F29</s:f>
        <s:v>485.12336561736834</s:v>
      </s:c>
      <s:c r="D30" s="5">
        <s:f>C30*Assumptions!$B$10</s:f>
        <s:v>9.702467312347366</s:v>
      </s:c>
      <s:c r="E30" s="5">
        <s:f>Acquisition!B30*1</s:f>
        <s:v>40</s:v>
      </s:c>
      <s:c r="F30" s="5">
        <s:f>C30-D30+E30</s:f>
        <s:v>515.420898305021</s:v>
      </s:c>
      <s:c r="G30" s="5">
        <s:f>C30-D30+E30/2</s:f>
        <s:v>495.42089830502096</s:v>
      </s:c>
      <s:c r="H30" s="5">
        <s:f>G30*Assumptions!$B$9</s:f>
        <s:v>62670.74363558515</s:v>
      </s:c>
      <s:c r="I30" s="5">
        <s:f>H30*Assumptions!$B$11</s:f>
        <s:v>626.7074363558515</s:v>
      </s:c>
      <s:c r="J30" s="5">
        <s:f>H30-I30</s:f>
        <s:v>62044.036199229304</s:v>
      </s:c>
      <s:c r="K30" s="5">
        <s:f>H30*Assumptions!$B$12+G30*Assumptions!$B$13</s:f>
        <s:v>2404.773040372572</s:v>
      </s:c>
      <s:c r="L30" s="5">
        <s:f>G30*(Assumptions!$B$14+Assumptions!$B$15)</s:f>
        <s:v>7431.313474575314</s:v>
      </s:c>
      <s:c r="M30" s="5">
        <s:f>E30*Assumptions!$B$16</s:f>
        <s:v>2400</s:v>
      </s:c>
      <s:c r="N30" s="5">
        <s:f>SUM(K30:M30)</s:f>
        <s:v>12236.086514947885</s:v>
      </s:c>
      <s:c r="O30" s="5">
        <s:f>J30-N30</s:f>
        <s:v>49807.94968428142</s:v>
      </s:c>
      <s:c r="P30" s="5">
        <s:f>INDEX(Assumptions!$B$30:$D$30,1,B30)</s:f>
        <s:v>22000.0</s:v>
      </s:c>
      <s:c r="Q30" s="5">
        <s:f>Acquisition!C30</s:f>
        <s:v>0</s:v>
      </s:c>
      <s:c r="R30" s="5">
        <s:f>O30-P30-Q30</s:f>
        <s:v>27807.94968428142</s:v>
      </s:c>
      <s:c r="S30" s="5">
        <s:f>0</s:f>
        <s:v>0</s:v>
      </s:c>
      <s:c r="T30" s="5">
        <s:f>R30-S30</s:f>
        <s:v>27807.94968428142</s:v>
      </s:c>
      <s:c r="U30" s="5">
        <s:f>U29+T30</s:f>
        <s:v>261294.69187169554</s:v>
      </s:c>
      <s:c r="V30" s="5">
        <s:f>F30*Assumptions!$B$9</s:f>
        <s:v>65200.74363558515</s:v>
      </s:c>
      <s:c r="W30" s="5">
        <s:f>V30*12</s:f>
        <s:v>782408.9236270218</s:v>
      </s:c>
    </s:row>
    <s:row r="31">
      <s:c r="A31" s="2" t="n">
        <s:v>30</s:v>
      </s:c>
      <s:c r="B31" s="4">
        <s:f>INT((A31-1)/12)+1</s:f>
        <s:v>3</s:v>
      </s:c>
      <s:c r="C31" s="5">
        <s:f>F30</s:f>
        <s:v>515.420898305021</s:v>
      </s:c>
      <s:c r="D31" s="5">
        <s:f>C31*Assumptions!$B$10</s:f>
        <s:v>10.30841796610042</s:v>
      </s:c>
      <s:c r="E31" s="5">
        <s:f>Acquisition!B31*1</s:f>
        <s:v>40</s:v>
      </s:c>
      <s:c r="F31" s="5">
        <s:f>C31-D31+E31</s:f>
        <s:v>545.1124803389205</s:v>
      </s:c>
      <s:c r="G31" s="5">
        <s:f>C31-D31+E31/2</s:f>
        <s:v>525.1124803389205</s:v>
      </s:c>
      <s:c r="H31" s="5">
        <s:f>G31*Assumptions!$B$9</s:f>
        <s:v>66426.72876287343</s:v>
      </s:c>
      <s:c r="I31" s="5">
        <s:f>H31*Assumptions!$B$11</s:f>
        <s:v>664.2672876287344</s:v>
      </s:c>
      <s:c r="J31" s="5">
        <s:f>H31-I31</s:f>
        <s:v>65762.4614752447</s:v>
      </s:c>
      <s:c r="K31" s="5">
        <s:f>H31*Assumptions!$B$12+G31*Assumptions!$B$13</s:f>
        <s:v>2548.89597956512</s:v>
      </s:c>
      <s:c r="L31" s="5">
        <s:f>G31*(Assumptions!$B$14+Assumptions!$B$15)</s:f>
        <s:v>7876.687205083807</s:v>
      </s:c>
      <s:c r="M31" s="5">
        <s:f>E31*Assumptions!$B$16</s:f>
        <s:v>2400</s:v>
      </s:c>
      <s:c r="N31" s="5">
        <s:f>SUM(K31:M31)</s:f>
        <s:v>12825.583184648927</s:v>
      </s:c>
      <s:c r="O31" s="5">
        <s:f>J31-N31</s:f>
        <s:v>52936.87829059576</s:v>
      </s:c>
      <s:c r="P31" s="5">
        <s:f>INDEX(Assumptions!$B$30:$D$30,1,B31)</s:f>
        <s:v>22000.0</s:v>
      </s:c>
      <s:c r="Q31" s="5">
        <s:f>Acquisition!C31</s:f>
        <s:v>0</s:v>
      </s:c>
      <s:c r="R31" s="5">
        <s:f>O31-P31-Q31</s:f>
        <s:v>30936.878290595763</s:v>
      </s:c>
      <s:c r="S31" s="5">
        <s:f>0</s:f>
        <s:v>0</s:v>
      </s:c>
      <s:c r="T31" s="5">
        <s:f>R31-S31</s:f>
        <s:v>30936.878290595763</s:v>
      </s:c>
      <s:c r="U31" s="5">
        <s:f>U30+T31</s:f>
        <s:v>292231.5701622913</s:v>
      </s:c>
      <s:c r="V31" s="5">
        <s:f>F31*Assumptions!$B$9</s:f>
        <s:v>68956.72876287343</s:v>
      </s:c>
      <s:c r="W31" s="5">
        <s:f>V31*12</s:f>
        <s:v>827480.7451544811</s:v>
      </s:c>
    </s:row>
    <s:row r="32">
      <s:c r="A32" s="2" t="n">
        <s:v>31</s:v>
      </s:c>
      <s:c r="B32" s="4">
        <s:f>INT((A32-1)/12)+1</s:f>
        <s:v>3</s:v>
      </s:c>
      <s:c r="C32" s="5">
        <s:f>F31</s:f>
        <s:v>545.1124803389205</s:v>
      </s:c>
      <s:c r="D32" s="5">
        <s:f>C32*Assumptions!$B$10</s:f>
        <s:v>10.90224960677841</s:v>
      </s:c>
      <s:c r="E32" s="5">
        <s:f>Acquisition!B32*1</s:f>
        <s:v>40</s:v>
      </s:c>
      <s:c r="F32" s="5">
        <s:f>C32-D32+E32</s:f>
        <s:v>574.2102307321421</s:v>
      </s:c>
      <s:c r="G32" s="5">
        <s:f>C32-D32+E32/2</s:f>
        <s:v>554.2102307321421</s:v>
      </s:c>
      <s:c r="H32" s="5">
        <s:f>G32*Assumptions!$B$9</s:f>
        <s:v>70107.59418761598</s:v>
      </s:c>
      <s:c r="I32" s="5">
        <s:f>H32*Assumptions!$B$11</s:f>
        <s:v>701.0759418761598</s:v>
      </s:c>
      <s:c r="J32" s="5">
        <s:f>H32-I32</s:f>
        <s:v>69406.51824573982</s:v>
      </s:c>
      <s:c r="K32" s="5">
        <s:f>H32*Assumptions!$B$12+G32*Assumptions!$B$13</s:f>
        <s:v>2690.1364599738176</s:v>
      </s:c>
      <s:c r="L32" s="5">
        <s:f>G32*(Assumptions!$B$14+Assumptions!$B$15)</s:f>
        <s:v>8313.153460982132</s:v>
      </s:c>
      <s:c r="M32" s="5">
        <s:f>E32*Assumptions!$B$16</s:f>
        <s:v>2400</s:v>
      </s:c>
      <s:c r="N32" s="5">
        <s:f>SUM(K32:M32)</s:f>
        <s:v>13403.28992095595</s:v>
      </s:c>
      <s:c r="O32" s="5">
        <s:f>J32-N32</s:f>
        <s:v>56003.22832478387</s:v>
      </s:c>
      <s:c r="P32" s="5">
        <s:f>INDEX(Assumptions!$B$30:$D$30,1,B32)</s:f>
        <s:v>22000.0</s:v>
      </s:c>
      <s:c r="Q32" s="5">
        <s:f>Acquisition!C32</s:f>
        <s:v>0</s:v>
      </s:c>
      <s:c r="R32" s="5">
        <s:f>O32-P32-Q32</s:f>
        <s:v>34003.22832478387</s:v>
      </s:c>
      <s:c r="S32" s="5">
        <s:f>0</s:f>
        <s:v>0</s:v>
      </s:c>
      <s:c r="T32" s="5">
        <s:f>R32-S32</s:f>
        <s:v>34003.22832478387</s:v>
      </s:c>
      <s:c r="U32" s="5">
        <s:f>U31+T32</s:f>
        <s:v>326234.79848707514</s:v>
      </s:c>
      <s:c r="V32" s="5">
        <s:f>F32*Assumptions!$B$9</s:f>
        <s:v>72637.59418761598</s:v>
      </s:c>
      <s:c r="W32" s="5">
        <s:f>V32*12</s:f>
        <s:v>871651.1302513918</s:v>
      </s:c>
    </s:row>
    <s:row r="33">
      <s:c r="A33" s="2" t="n">
        <s:v>32</s:v>
      </s:c>
      <s:c r="B33" s="4">
        <s:f>INT((A33-1)/12)+1</s:f>
        <s:v>3</s:v>
      </s:c>
      <s:c r="C33" s="5">
        <s:f>F32</s:f>
        <s:v>574.2102307321421</s:v>
      </s:c>
      <s:c r="D33" s="5">
        <s:f>C33*Assumptions!$B$10</s:f>
        <s:v>11.484204614642843</s:v>
      </s:c>
      <s:c r="E33" s="5">
        <s:f>Acquisition!B33*1</s:f>
        <s:v>40</s:v>
      </s:c>
      <s:c r="F33" s="5">
        <s:f>C33-D33+E33</s:f>
        <s:v>602.7260261174993</s:v>
      </s:c>
      <s:c r="G33" s="5">
        <s:f>C33-D33+E33/2</s:f>
        <s:v>582.7260261174993</s:v>
      </s:c>
      <s:c r="H33" s="5">
        <s:f>G33*Assumptions!$B$9</s:f>
        <s:v>73714.84230386365</s:v>
      </s:c>
      <s:c r="I33" s="5">
        <s:f>H33*Assumptions!$B$11</s:f>
        <s:v>737.1484230386366</s:v>
      </s:c>
      <s:c r="J33" s="5">
        <s:f>H33-I33</s:f>
        <s:v>72977.69388082501</s:v>
      </s:c>
      <s:c r="K33" s="5">
        <s:f>H33*Assumptions!$B$12+G33*Assumptions!$B$13</s:f>
        <s:v>2828.552130774341</s:v>
      </s:c>
      <s:c r="L33" s="5">
        <s:f>G33*(Assumptions!$B$14+Assumptions!$B$15)</s:f>
        <s:v>8740.890391762488</s:v>
      </s:c>
      <s:c r="M33" s="5">
        <s:f>E33*Assumptions!$B$16</s:f>
        <s:v>2400</s:v>
      </s:c>
      <s:c r="N33" s="5">
        <s:f>SUM(K33:M33)</s:f>
        <s:v>13969.442522536829</s:v>
      </s:c>
      <s:c r="O33" s="5">
        <s:f>J33-N33</s:f>
        <s:v>59008.25135828818</s:v>
      </s:c>
      <s:c r="P33" s="5">
        <s:f>INDEX(Assumptions!$B$30:$D$30,1,B33)</s:f>
        <s:v>22000.0</s:v>
      </s:c>
      <s:c r="Q33" s="5">
        <s:f>Acquisition!C33</s:f>
        <s:v>0</s:v>
      </s:c>
      <s:c r="R33" s="5">
        <s:f>O33-P33-Q33</s:f>
        <s:v>37008.25135828818</s:v>
      </s:c>
      <s:c r="S33" s="5">
        <s:f>0</s:f>
        <s:v>0</s:v>
      </s:c>
      <s:c r="T33" s="5">
        <s:f>R33-S33</s:f>
        <s:v>37008.25135828818</s:v>
      </s:c>
      <s:c r="U33" s="5">
        <s:f>U32+T33</s:f>
        <s:v>363243.0498453633</s:v>
      </s:c>
      <s:c r="V33" s="5">
        <s:f>F33*Assumptions!$B$9</s:f>
        <s:v>76244.84230386365</s:v>
      </s:c>
      <s:c r="W33" s="5">
        <s:f>V33*12</s:f>
        <s:v>914938.1076463638</s:v>
      </s:c>
    </s:row>
    <s:row r="34">
      <s:c r="A34" s="2" t="n">
        <s:v>33</s:v>
      </s:c>
      <s:c r="B34" s="4">
        <s:f>INT((A34-1)/12)+1</s:f>
        <s:v>3</s:v>
      </s:c>
      <s:c r="C34" s="5">
        <s:f>F33</s:f>
        <s:v>602.7260261174993</s:v>
      </s:c>
      <s:c r="D34" s="5">
        <s:f>C34*Assumptions!$B$10</s:f>
        <s:v>12.054520522349986</s:v>
      </s:c>
      <s:c r="E34" s="5">
        <s:f>Acquisition!B34*1</s:f>
        <s:v>40</s:v>
      </s:c>
      <s:c r="F34" s="5">
        <s:f>C34-D34+E34</s:f>
        <s:v>630.6715055951493</s:v>
      </s:c>
      <s:c r="G34" s="5">
        <s:f>C34-D34+E34/2</s:f>
        <s:v>610.6715055951493</s:v>
      </s:c>
      <s:c r="H34" s="5">
        <s:f>G34*Assumptions!$B$9</s:f>
        <s:v>77249.94545778638</s:v>
      </s:c>
      <s:c r="I34" s="5">
        <s:f>H34*Assumptions!$B$11</s:f>
        <s:v>772.4994545778638</s:v>
      </s:c>
      <s:c r="J34" s="5">
        <s:f>H34-I34</s:f>
        <s:v>76477.44600320852</s:v>
      </s:c>
      <s:c r="K34" s="5">
        <s:f>H34*Assumptions!$B$12+G34*Assumptions!$B$13</s:f>
        <s:v>2964.1994881588544</s:v>
      </s:c>
      <s:c r="L34" s="5">
        <s:f>G34*(Assumptions!$B$14+Assumptions!$B$15)</s:f>
        <s:v>9160.072583927238</s:v>
      </s:c>
      <s:c r="M34" s="5">
        <s:f>E34*Assumptions!$B$16</s:f>
        <s:v>2400</s:v>
      </s:c>
      <s:c r="N34" s="5">
        <s:f>SUM(K34:M34)</s:f>
        <s:v>14524.272072086093</s:v>
      </s:c>
      <s:c r="O34" s="5">
        <s:f>J34-N34</s:f>
        <s:v>61953.17393112242</s:v>
      </s:c>
      <s:c r="P34" s="5">
        <s:f>INDEX(Assumptions!$B$30:$D$30,1,B34)</s:f>
        <s:v>22000.0</s:v>
      </s:c>
      <s:c r="Q34" s="5">
        <s:f>Acquisition!C34</s:f>
        <s:v>0</s:v>
      </s:c>
      <s:c r="R34" s="5">
        <s:f>O34-P34-Q34</s:f>
        <s:v>39953.17393112242</s:v>
      </s:c>
      <s:c r="S34" s="5">
        <s:f>0</s:f>
        <s:v>0</s:v>
      </s:c>
      <s:c r="T34" s="5">
        <s:f>R34-S34</s:f>
        <s:v>39953.17393112242</s:v>
      </s:c>
      <s:c r="U34" s="5">
        <s:f>U33+T34</s:f>
        <s:v>403196.2237764857</s:v>
      </s:c>
      <s:c r="V34" s="5">
        <s:f>F34*Assumptions!$B$9</s:f>
        <s:v>79779.94545778638</s:v>
      </s:c>
      <s:c r="W34" s="5">
        <s:f>V34*12</s:f>
        <s:v>957359.3454934366</s:v>
      </s:c>
    </s:row>
    <s:row r="35">
      <s:c r="A35" s="2" t="n">
        <s:v>34</s:v>
      </s:c>
      <s:c r="B35" s="4">
        <s:f>INT((A35-1)/12)+1</s:f>
        <s:v>3</s:v>
      </s:c>
      <s:c r="C35" s="5">
        <s:f>F34</s:f>
        <s:v>630.6715055951493</s:v>
      </s:c>
      <s:c r="D35" s="5">
        <s:f>C35*Assumptions!$B$10</s:f>
        <s:v>12.613430111902986</s:v>
      </s:c>
      <s:c r="E35" s="5">
        <s:f>Acquisition!B35*1</s:f>
        <s:v>40</s:v>
      </s:c>
      <s:c r="F35" s="5">
        <s:f>C35-D35+E35</s:f>
        <s:v>658.0580754832463</s:v>
      </s:c>
      <s:c r="G35" s="5">
        <s:f>C35-D35+E35/2</s:f>
        <s:v>638.0580754832463</s:v>
      </s:c>
      <s:c r="H35" s="5">
        <s:f>G35*Assumptions!$B$9</s:f>
        <s:v>80714.34654863065</s:v>
      </s:c>
      <s:c r="I35" s="5">
        <s:f>H35*Assumptions!$B$11</s:f>
        <s:v>807.1434654863066</s:v>
      </s:c>
      <s:c r="J35" s="5">
        <s:f>H35-I35</s:f>
        <s:v>79907.20308314434</s:v>
      </s:c>
      <s:c r="K35" s="5">
        <s:f>H35*Assumptions!$B$12+G35*Assumptions!$B$13</s:f>
        <s:v>3097.1338983956775</s:v>
      </s:c>
      <s:c r="L35" s="5">
        <s:f>G35*(Assumptions!$B$14+Assumptions!$B$15)</s:f>
        <s:v>9570.871132248694</s:v>
      </s:c>
      <s:c r="M35" s="5">
        <s:f>E35*Assumptions!$B$16</s:f>
        <s:v>2400</s:v>
      </s:c>
      <s:c r="N35" s="5">
        <s:f>SUM(K35:M35)</s:f>
        <s:v>15068.005030644372</s:v>
      </s:c>
      <s:c r="O35" s="5">
        <s:f>J35-N35</s:f>
        <s:v>64839.19805249997</s:v>
      </s:c>
      <s:c r="P35" s="5">
        <s:f>INDEX(Assumptions!$B$30:$D$30,1,B35)</s:f>
        <s:v>22000.0</s:v>
      </s:c>
      <s:c r="Q35" s="5">
        <s:f>Acquisition!C35</s:f>
        <s:v>0</s:v>
      </s:c>
      <s:c r="R35" s="5">
        <s:f>O35-P35-Q35</s:f>
        <s:v>42839.19805249997</s:v>
      </s:c>
      <s:c r="S35" s="5">
        <s:f>0</s:f>
        <s:v>0</s:v>
      </s:c>
      <s:c r="T35" s="5">
        <s:f>R35-S35</s:f>
        <s:v>42839.19805249997</s:v>
      </s:c>
      <s:c r="U35" s="5">
        <s:f>U34+T35</s:f>
        <s:v>446035.4218289857</s:v>
      </s:c>
      <s:c r="V35" s="5">
        <s:f>F35*Assumptions!$B$9</s:f>
        <s:v>83244.34654863065</s:v>
      </s:c>
      <s:c r="W35" s="5">
        <s:f>V35*12</s:f>
        <s:v>998932.1585835678</s:v>
      </s:c>
    </s:row>
    <s:row r="36">
      <s:c r="A36" s="2" t="n">
        <s:v>35</s:v>
      </s:c>
      <s:c r="B36" s="4">
        <s:f>INT((A36-1)/12)+1</s:f>
        <s:v>3</s:v>
      </s:c>
      <s:c r="C36" s="5">
        <s:f>F35</s:f>
        <s:v>658.0580754832463</s:v>
      </s:c>
      <s:c r="D36" s="5">
        <s:f>C36*Assumptions!$B$10</s:f>
        <s:v>13.161161509664925</s:v>
      </s:c>
      <s:c r="E36" s="5">
        <s:f>Acquisition!B36*1</s:f>
        <s:v>40</s:v>
      </s:c>
      <s:c r="F36" s="5">
        <s:f>C36-D36+E36</s:f>
        <s:v>684.8969139735814</s:v>
      </s:c>
      <s:c r="G36" s="5">
        <s:f>C36-D36+E36/2</s:f>
        <s:v>664.8969139735814</s:v>
      </s:c>
      <s:c r="H36" s="5">
        <s:f>G36*Assumptions!$B$9</s:f>
        <s:v>84109.45961765804</s:v>
      </s:c>
      <s:c r="I36" s="5">
        <s:f>H36*Assumptions!$B$11</s:f>
        <s:v>841.0945961765804</s:v>
      </s:c>
      <s:c r="J36" s="5">
        <s:f>H36-I36</s:f>
        <s:v>83268.36502148146</s:v>
      </s:c>
      <s:c r="K36" s="5">
        <s:f>H36*Assumptions!$B$12+G36*Assumptions!$B$13</s:f>
        <s:v>3227.4096204277635</s:v>
      </s:c>
      <s:c r="L36" s="5">
        <s:f>G36*(Assumptions!$B$14+Assumptions!$B$15)</s:f>
        <s:v>9973.45370960372</s:v>
      </s:c>
      <s:c r="M36" s="5">
        <s:f>E36*Assumptions!$B$16</s:f>
        <s:v>2400</s:v>
      </s:c>
      <s:c r="N36" s="5">
        <s:f>SUM(K36:M36)</s:f>
        <s:v>15600.863330031483</s:v>
      </s:c>
      <s:c r="O36" s="5">
        <s:f>J36-N36</s:f>
        <s:v>67667.50169144997</s:v>
      </s:c>
      <s:c r="P36" s="5">
        <s:f>INDEX(Assumptions!$B$30:$D$30,1,B36)</s:f>
        <s:v>22000.0</s:v>
      </s:c>
      <s:c r="Q36" s="5">
        <s:f>Acquisition!C36</s:f>
        <s:v>0</s:v>
      </s:c>
      <s:c r="R36" s="5">
        <s:f>O36-P36-Q36</s:f>
        <s:v>45667.50169144997</s:v>
      </s:c>
      <s:c r="S36" s="5">
        <s:f>0</s:f>
        <s:v>0</s:v>
      </s:c>
      <s:c r="T36" s="5">
        <s:f>R36-S36</s:f>
        <s:v>45667.50169144997</s:v>
      </s:c>
      <s:c r="U36" s="5">
        <s:f>U35+T36</s:f>
        <s:v>491702.92352043564</s:v>
      </s:c>
      <s:c r="V36" s="5">
        <s:f>F36*Assumptions!$B$9</s:f>
        <s:v>86639.45961765804</s:v>
      </s:c>
      <s:c r="W36" s="5">
        <s:f>V36*12</s:f>
        <s:v>1039673.5154118964</s:v>
      </s:c>
    </s:row>
    <s:row r="37">
      <s:c r="A37" s="2" t="n">
        <s:v>36</s:v>
      </s:c>
      <s:c r="B37" s="4">
        <s:f>INT((A37-1)/12)+1</s:f>
        <s:v>3</s:v>
      </s:c>
      <s:c r="C37" s="5">
        <s:f>F36</s:f>
        <s:v>684.8969139735814</s:v>
      </s:c>
      <s:c r="D37" s="5">
        <s:f>C37*Assumptions!$B$10</s:f>
        <s:v>13.697938279471629</s:v>
      </s:c>
      <s:c r="E37" s="5">
        <s:f>Acquisition!B37*1</s:f>
        <s:v>40</s:v>
      </s:c>
      <s:c r="F37" s="5">
        <s:f>C37-D37+E37</s:f>
        <s:v>711.1989756941098</s:v>
      </s:c>
      <s:c r="G37" s="5">
        <s:f>C37-D37+E37/2</s:f>
        <s:v>691.1989756941098</s:v>
      </s:c>
      <s:c r="H37" s="5">
        <s:f>G37*Assumptions!$B$9</s:f>
        <s:v>87436.67042530488</s:v>
      </s:c>
      <s:c r="I37" s="5">
        <s:f>H37*Assumptions!$B$11</s:f>
        <s:v>874.3667042530489</s:v>
      </s:c>
      <s:c r="J37" s="5">
        <s:f>H37-I37</s:f>
        <s:v>86562.30372105184</s:v>
      </s:c>
      <s:c r="K37" s="5">
        <s:f>H37*Assumptions!$B$12+G37*Assumptions!$B$13</s:f>
        <s:v>3355.0798280192084</s:v>
      </s:c>
      <s:c r="L37" s="5">
        <s:f>G37*(Assumptions!$B$14+Assumptions!$B$15)</s:f>
        <s:v>10367.984635411647</s:v>
      </s:c>
      <s:c r="M37" s="5">
        <s:f>E37*Assumptions!$B$16</s:f>
        <s:v>2400</s:v>
      </s:c>
      <s:c r="N37" s="5">
        <s:f>SUM(K37:M37)</s:f>
        <s:v>16123.064463430856</s:v>
      </s:c>
      <s:c r="O37" s="5">
        <s:f>J37-N37</s:f>
        <s:v>70439.23925762098</s:v>
      </s:c>
      <s:c r="P37" s="5">
        <s:f>INDEX(Assumptions!$B$30:$D$30,1,B37)</s:f>
        <s:v>22000.0</s:v>
      </s:c>
      <s:c r="Q37" s="5">
        <s:f>Acquisition!C37</s:f>
        <s:v>0</s:v>
      </s:c>
      <s:c r="R37" s="5">
        <s:f>O37-P37-Q37</s:f>
        <s:v>48439.23925762098</s:v>
      </s:c>
      <s:c r="S37" s="5">
        <s:f>MAX(SUM(R26:R37),0)*Assumptions!$B$17</s:f>
        <s:v>96325.2779433349</s:v>
      </s:c>
      <s:c r="T37" s="5">
        <s:f>R37-S37</s:f>
        <s:v>-47886.038685713924</s:v>
      </s:c>
      <s:c r="U37" s="5">
        <s:f>U36+T37</s:f>
        <s:v>443816.8848347217</s:v>
      </s:c>
      <s:c r="V37" s="5">
        <s:f>F37*Assumptions!$B$9</s:f>
        <s:v>89966.67042530488</s:v>
      </s:c>
      <s:c r="W37" s="5">
        <s:f>V37*12</s:f>
        <s:v>1079600.0451036585</s:v>
      </s:c>
    </s:row>
  </s:sheetData>
  <s:autoFilter ref="A1:W37"/>
  <s:pageMargins left="0.75" right="0.75" top="1" bottom="1" header="0.5" footer="0.5"/>
  <s:pageSetup orientation="landscape" paperSize="8" fitToHeight="0" fitToWidth="1"/>
</s:worksheet>
</file>

<file path=xl/worksheets/sheet5.xml><?xml version="1.0" encoding="utf-8"?>
<s:worksheet xmlns:s="http://schemas.openxmlformats.org/spreadsheetml/2006/main">
  <s:sheetPr>
    <s:outlinePr summaryBelow="1" summaryRight="1"/>
    <s:pageSetUpPr fitToPage="1"/>
  </s:sheetPr>
  <s:dimension ref="A1:W37"/>
  <s:sheetViews>
    <s:sheetView workbookViewId="0">
      <s:pane xSplit="1" ySplit="1" topLeftCell="B2" activePane="bottomRight" state="frozen"/>
      <s:selection pane="topRight"/>
      <s:selection pane="bottomLeft"/>
      <s:selection pane="bottomRight"/>
      <s:selection pane="bottomLeft"/>
      <s:selection pane="bottomRight" activeCell="A1" sqref="A1"/>
    </s:sheetView>
  </s:sheetViews>
  <s:sheetFormatPr baseColWidth="8" defaultRowHeight="15"/>
  <s:cols>
    <s:col width="19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  <s:col width="19" customWidth="1" min="10" max="10"/>
    <s:col width="19" customWidth="1" min="11" max="11"/>
    <s:col width="19" customWidth="1" min="12" max="12"/>
    <s:col width="19" customWidth="1" min="13" max="13"/>
    <s:col width="19" customWidth="1" min="14" max="14"/>
    <s:col width="19" customWidth="1" min="15" max="15"/>
    <s:col width="19" customWidth="1" min="16" max="16"/>
    <s:col width="19" customWidth="1" min="17" max="17"/>
    <s:col width="19" customWidth="1" min="18" max="18"/>
    <s:col width="19" customWidth="1" min="19" max="19"/>
    <s:col width="19" customWidth="1" min="20" max="20"/>
    <s:col width="19" customWidth="1" min="21" max="21"/>
    <s:col width="19" customWidth="1" min="22" max="22"/>
    <s:col width="19" customWidth="1" min="23" max="23"/>
  </s:cols>
  <s:sheetData>
    <s:row r="1" ht="32" customHeight="1">
      <s:c r="A1" s="1" t="inlineStr">
        <s:is>
          <s:t>Month</s:t>
        </s:is>
      </s:c>
      <s:c r="B1" s="1" t="inlineStr">
        <s:is>
          <s:t>Year</s:t>
        </s:is>
      </s:c>
      <s:c r="C1" s="1" t="inlineStr">
        <s:is>
          <s:t>Opening paid</s:t>
        </s:is>
      </s:c>
      <s:c r="D1" s="1" t="inlineStr">
        <s:is>
          <s:t>Churned</s:t>
        </s:is>
      </s:c>
      <s:c r="E1" s="1" t="inlineStr">
        <s:is>
          <s:t>New paid</s:t>
        </s:is>
      </s:c>
      <s:c r="F1" s="1" t="inlineStr">
        <s:is>
          <s:t>Ending paid</s:t>
        </s:is>
      </s:c>
      <s:c r="G1" s="1" t="inlineStr">
        <s:is>
          <s:t>Billed equivalent</s:t>
        </s:is>
      </s:c>
      <s:c r="H1" s="1" t="inlineStr">
        <s:is>
          <s:t>Gross charges</s:t>
        </s:is>
      </s:c>
      <s:c r="I1" s="1" t="inlineStr">
        <s:is>
          <s:t>Credits/refunds</s:t>
        </s:is>
      </s:c>
      <s:c r="J1" s="1" t="inlineStr">
        <s:is>
          <s:t>Net revenue</s:t>
        </s:is>
      </s:c>
      <s:c r="K1" s="1" t="inlineStr">
        <s:is>
          <s:t>Payment fees</s:t>
        </s:is>
      </s:c>
      <s:c r="L1" s="1" t="inlineStr">
        <s:is>
          <s:t>Service delivery</s:t>
        </s:is>
      </s:c>
      <s:c r="M1" s="1" t="inlineStr">
        <s:is>
          <s:t>Onboarding</s:t>
        </s:is>
      </s:c>
      <s:c r="N1" s="1" t="inlineStr">
        <s:is>
          <s:t>Total COGS</s:t>
        </s:is>
      </s:c>
      <s:c r="O1" s="1" t="inlineStr">
        <s:is>
          <s:t>Gross profit</s:t>
        </s:is>
      </s:c>
      <s:c r="P1" s="1" t="inlineStr">
        <s:is>
          <s:t>Fixed opex</s:t>
        </s:is>
      </s:c>
      <s:c r="Q1" s="1" t="inlineStr">
        <s:is>
          <s:t>Launch costs</s:t>
        </s:is>
      </s:c>
      <s:c r="R1" s="1" t="inlineStr">
        <s:is>
          <s:t>Operating profit</s:t>
        </s:is>
      </s:c>
      <s:c r="S1" s="1" t="inlineStr">
        <s:is>
          <s:t>Tax reserve</s:t>
        </s:is>
      </s:c>
      <s:c r="T1" s="1" t="inlineStr">
        <s:is>
          <s:t>Net income</s:t>
        </s:is>
      </s:c>
      <s:c r="U1" s="1" t="inlineStr">
        <s:is>
          <s:t>Ending cash</s:t>
        </s:is>
      </s:c>
      <s:c r="V1" s="1" t="inlineStr">
        <s:is>
          <s:t>Exit MRR</s:t>
        </s:is>
      </s:c>
      <s:c r="W1" s="1" t="inlineStr">
        <s:is>
          <s:t>Exit ARR</s:t>
        </s:is>
      </s:c>
    </s:row>
    <s:row r="2">
      <s:c r="A2" s="2" t="n">
        <s:v>1</s:v>
      </s:c>
      <s:c r="B2" s="4">
        <s:f>INT((A2-1)/12)+1</s:f>
        <s:v>1</s:v>
      </s:c>
      <s:c r="C2" s="5">
        <s:f>0</s:f>
        <s:v>0</s:v>
      </s:c>
      <s:c r="D2" s="5">
        <s:f>C2*Assumptions!$B$20</s:f>
        <s:v>0.0</s:v>
      </s:c>
      <s:c r="E2" s="5">
        <s:f>Acquisition!B2*Assumptions!$B$19</s:f>
        <s:v>0.0</s:v>
      </s:c>
      <s:c r="F2" s="5">
        <s:f>C2-D2+E2</s:f>
        <s:v>0.0</s:v>
      </s:c>
      <s:c r="G2" s="5">
        <s:f>C2-D2+E2/2</s:f>
        <s:v>0.0</s:v>
      </s:c>
      <s:c r="H2" s="5">
        <s:f>G2*Assumptions!$B$9*Assumptions!$B$21</s:f>
        <s:v>0.0</s:v>
      </s:c>
      <s:c r="I2" s="5">
        <s:f>H2*Assumptions!$B$11</s:f>
        <s:v>0.0</s:v>
      </s:c>
      <s:c r="J2" s="5">
        <s:f>H2-I2</s:f>
        <s:v>0.0</s:v>
      </s:c>
      <s:c r="K2" s="5">
        <s:f>H2*Assumptions!$B$12+G2*Assumptions!$B$13</s:f>
        <s:v>0.0</s:v>
      </s:c>
      <s:c r="L2" s="5">
        <s:f>G2*(Assumptions!$B$14+Assumptions!$B$15)</s:f>
        <s:v>0.0</s:v>
      </s:c>
      <s:c r="M2" s="5">
        <s:f>E2*Assumptions!$B$16</s:f>
        <s:v>0.0</s:v>
      </s:c>
      <s:c r="N2" s="5">
        <s:f>SUM(K2:M2)</s:f>
        <s:v>0.0</s:v>
      </s:c>
      <s:c r="O2" s="5">
        <s:f>J2-N2</s:f>
        <s:v>0.0</s:v>
      </s:c>
      <s:c r="P2" s="5">
        <s:f>INDEX(Assumptions!$B$30:$D$30,1,B2)</s:f>
        <s:v>9500.0</s:v>
      </s:c>
      <s:c r="Q2" s="5">
        <s:f>Acquisition!C2</s:f>
        <s:v>10000</s:v>
      </s:c>
      <s:c r="R2" s="5">
        <s:f>O2-P2-Q2</s:f>
        <s:v>-19500.0</s:v>
      </s:c>
      <s:c r="S2" s="5">
        <s:f>0</s:f>
        <s:v>0</s:v>
      </s:c>
      <s:c r="T2" s="5">
        <s:f>R2-S2</s:f>
        <s:v>-19500.0</s:v>
      </s:c>
      <s:c r="U2" s="5">
        <s:f>Assumptions!$B$2+T2</s:f>
        <s:v>155500.0</s:v>
      </s:c>
      <s:c r="V2" s="5">
        <s:f>F2*Assumptions!$B$9*Assumptions!$B$21</s:f>
        <s:v>0.0</s:v>
      </s:c>
      <s:c r="W2" s="5">
        <s:f>V2*12</s:f>
        <s:v>0.0</s:v>
      </s:c>
    </s:row>
    <s:row r="3">
      <s:c r="A3" s="2" t="n">
        <s:v>2</s:v>
      </s:c>
      <s:c r="B3" s="4">
        <s:f>INT((A3-1)/12)+1</s:f>
        <s:v>1</s:v>
      </s:c>
      <s:c r="C3" s="5">
        <s:f>F2</s:f>
        <s:v>0.0</s:v>
      </s:c>
      <s:c r="D3" s="5">
        <s:f>C3*Assumptions!$B$20</s:f>
        <s:v>0.0</s:v>
      </s:c>
      <s:c r="E3" s="5">
        <s:f>Acquisition!B3*Assumptions!$B$19</s:f>
        <s:v>0.0</s:v>
      </s:c>
      <s:c r="F3" s="5">
        <s:f>C3-D3+E3</s:f>
        <s:v>0.0</s:v>
      </s:c>
      <s:c r="G3" s="5">
        <s:f>C3-D3+E3/2</s:f>
        <s:v>0.0</s:v>
      </s:c>
      <s:c r="H3" s="5">
        <s:f>G3*Assumptions!$B$9*Assumptions!$B$21</s:f>
        <s:v>0.0</s:v>
      </s:c>
      <s:c r="I3" s="5">
        <s:f>H3*Assumptions!$B$11</s:f>
        <s:v>0.0</s:v>
      </s:c>
      <s:c r="J3" s="5">
        <s:f>H3-I3</s:f>
        <s:v>0.0</s:v>
      </s:c>
      <s:c r="K3" s="5">
        <s:f>H3*Assumptions!$B$12+G3*Assumptions!$B$13</s:f>
        <s:v>0.0</s:v>
      </s:c>
      <s:c r="L3" s="5">
        <s:f>G3*(Assumptions!$B$14+Assumptions!$B$15)</s:f>
        <s:v>0.0</s:v>
      </s:c>
      <s:c r="M3" s="5">
        <s:f>E3*Assumptions!$B$16</s:f>
        <s:v>0.0</s:v>
      </s:c>
      <s:c r="N3" s="5">
        <s:f>SUM(K3:M3)</s:f>
        <s:v>0.0</s:v>
      </s:c>
      <s:c r="O3" s="5">
        <s:f>J3-N3</s:f>
        <s:v>0.0</s:v>
      </s:c>
      <s:c r="P3" s="5">
        <s:f>INDEX(Assumptions!$B$30:$D$30,1,B3)</s:f>
        <s:v>9500.0</s:v>
      </s:c>
      <s:c r="Q3" s="5">
        <s:f>Acquisition!C3</s:f>
        <s:v>5000</s:v>
      </s:c>
      <s:c r="R3" s="5">
        <s:f>O3-P3-Q3</s:f>
        <s:v>-14500.0</s:v>
      </s:c>
      <s:c r="S3" s="5">
        <s:f>0</s:f>
        <s:v>0</s:v>
      </s:c>
      <s:c r="T3" s="5">
        <s:f>R3-S3</s:f>
        <s:v>-14500.0</s:v>
      </s:c>
      <s:c r="U3" s="5">
        <s:f>U2+T3</s:f>
        <s:v>141000.0</s:v>
      </s:c>
      <s:c r="V3" s="5">
        <s:f>F3*Assumptions!$B$9*Assumptions!$B$21</s:f>
        <s:v>0.0</s:v>
      </s:c>
      <s:c r="W3" s="5">
        <s:f>V3*12</s:f>
        <s:v>0.0</s:v>
      </s:c>
    </s:row>
    <s:row r="4">
      <s:c r="A4" s="2" t="n">
        <s:v>3</s:v>
      </s:c>
      <s:c r="B4" s="4">
        <s:f>INT((A4-1)/12)+1</s:f>
        <s:v>1</s:v>
      </s:c>
      <s:c r="C4" s="5">
        <s:f>F3</s:f>
        <s:v>0.0</s:v>
      </s:c>
      <s:c r="D4" s="5">
        <s:f>C4*Assumptions!$B$20</s:f>
        <s:v>0.0</s:v>
      </s:c>
      <s:c r="E4" s="5">
        <s:f>Acquisition!B4*Assumptions!$B$19</s:f>
        <s:v>1.7999999999999998</s:v>
      </s:c>
      <s:c r="F4" s="5">
        <s:f>C4-D4+E4</s:f>
        <s:v>1.7999999999999998</s:v>
      </s:c>
      <s:c r="G4" s="5">
        <s:f>C4-D4+E4/2</s:f>
        <s:v>0.8999999999999999</s:v>
      </s:c>
      <s:c r="H4" s="5">
        <s:f>G4*Assumptions!$B$9*Assumptions!$B$21</s:f>
        <s:v>102.465</s:v>
      </s:c>
      <s:c r="I4" s="5">
        <s:f>H4*Assumptions!$B$11</s:f>
        <s:v>1.02465</s:v>
      </s:c>
      <s:c r="J4" s="5">
        <s:f>H4-I4</s:f>
        <s:v>101.44035000000001</s:v>
      </s:c>
      <s:c r="K4" s="5">
        <s:f>H4*Assumptions!$B$12+G4*Assumptions!$B$13</s:f>
        <s:v>3.9587399999999997</s:v>
      </s:c>
      <s:c r="L4" s="5">
        <s:f>G4*(Assumptions!$B$14+Assumptions!$B$15)</s:f>
        <s:v>13.499999999999998</s:v>
      </s:c>
      <s:c r="M4" s="5">
        <s:f>E4*Assumptions!$B$16</s:f>
        <s:v>107.99999999999999</s:v>
      </s:c>
      <s:c r="N4" s="5">
        <s:f>SUM(K4:M4)</s:f>
        <s:v>125.45873999999998</s:v>
      </s:c>
      <s:c r="O4" s="5">
        <s:f>J4-N4</s:f>
        <s:v>-24.018389999999968</s:v>
      </s:c>
      <s:c r="P4" s="5">
        <s:f>INDEX(Assumptions!$B$30:$D$30,1,B4)</s:f>
        <s:v>9500.0</s:v>
      </s:c>
      <s:c r="Q4" s="5">
        <s:f>Acquisition!C4</s:f>
        <s:v>0</s:v>
      </s:c>
      <s:c r="R4" s="5">
        <s:f>O4-P4-Q4</s:f>
        <s:v>-9524.01839</s:v>
      </s:c>
      <s:c r="S4" s="5">
        <s:f>0</s:f>
        <s:v>0</s:v>
      </s:c>
      <s:c r="T4" s="5">
        <s:f>R4-S4</s:f>
        <s:v>-9524.01839</s:v>
      </s:c>
      <s:c r="U4" s="5">
        <s:f>U3+T4</s:f>
        <s:v>131475.98161</s:v>
      </s:c>
      <s:c r="V4" s="5">
        <s:f>F4*Assumptions!$B$9*Assumptions!$B$21</s:f>
        <s:v>204.93</s:v>
      </s:c>
      <s:c r="W4" s="5">
        <s:f>V4*12</s:f>
        <s:v>2459.16</s:v>
      </s:c>
    </s:row>
    <s:row r="5">
      <s:c r="A5" s="2" t="n">
        <s:v>4</s:v>
      </s:c>
      <s:c r="B5" s="4">
        <s:f>INT((A5-1)/12)+1</s:f>
        <s:v>1</s:v>
      </s:c>
      <s:c r="C5" s="5">
        <s:f>F4</s:f>
        <s:v>1.7999999999999998</s:v>
      </s:c>
      <s:c r="D5" s="5">
        <s:f>C5*Assumptions!$B$20</s:f>
        <s:v>0.063</s:v>
      </s:c>
      <s:c r="E5" s="5">
        <s:f>Acquisition!B5*Assumptions!$B$19</s:f>
        <s:v>3.0</s:v>
      </s:c>
      <s:c r="F5" s="5">
        <s:f>C5-D5+E5</s:f>
        <s:v>4.737</s:v>
      </s:c>
      <s:c r="G5" s="5">
        <s:f>C5-D5+E5/2</s:f>
        <s:v>3.237</s:v>
      </s:c>
      <s:c r="H5" s="5">
        <s:f>G5*Assumptions!$B$9*Assumptions!$B$21</s:f>
        <s:v>368.53245000000004</s:v>
      </s:c>
      <s:c r="I5" s="5">
        <s:f>H5*Assumptions!$B$11</s:f>
        <s:v>3.6853245000000006</s:v>
      </s:c>
      <s:c r="J5" s="5">
        <s:f>H5-I5</s:f>
        <s:v>364.84712550000006</s:v>
      </s:c>
      <s:c r="K5" s="5">
        <s:f>H5*Assumptions!$B$12+G5*Assumptions!$B$13</s:f>
        <s:v>14.2382682</s:v>
      </s:c>
      <s:c r="L5" s="5">
        <s:f>G5*(Assumptions!$B$14+Assumptions!$B$15)</s:f>
        <s:v>48.555</s:v>
      </s:c>
      <s:c r="M5" s="5">
        <s:f>E5*Assumptions!$B$16</s:f>
        <s:v>180.0</s:v>
      </s:c>
      <s:c r="N5" s="5">
        <s:f>SUM(K5:M5)</s:f>
        <s:v>242.7932682</s:v>
      </s:c>
      <s:c r="O5" s="5">
        <s:f>J5-N5</s:f>
        <s:v>122.05385730000006</s:v>
      </s:c>
      <s:c r="P5" s="5">
        <s:f>INDEX(Assumptions!$B$30:$D$30,1,B5)</s:f>
        <s:v>9500.0</s:v>
      </s:c>
      <s:c r="Q5" s="5">
        <s:f>Acquisition!C5</s:f>
        <s:v>0</s:v>
      </s:c>
      <s:c r="R5" s="5">
        <s:f>O5-P5-Q5</s:f>
        <s:v>-9377.9461427</s:v>
      </s:c>
      <s:c r="S5" s="5">
        <s:f>0</s:f>
        <s:v>0</s:v>
      </s:c>
      <s:c r="T5" s="5">
        <s:f>R5-S5</s:f>
        <s:v>-9377.9461427</s:v>
      </s:c>
      <s:c r="U5" s="5">
        <s:f>U4+T5</s:f>
        <s:v>122098.03546729998</s:v>
      </s:c>
      <s:c r="V5" s="5">
        <s:f>F5*Assumptions!$B$9*Assumptions!$B$21</s:f>
        <s:v>539.30745</s:v>
      </s:c>
      <s:c r="W5" s="5">
        <s:f>V5*12</s:f>
        <s:v>6471.6894</s:v>
      </s:c>
    </s:row>
    <s:row r="6">
      <s:c r="A6" s="2" t="n">
        <s:v>5</s:v>
      </s:c>
      <s:c r="B6" s="4">
        <s:f>INT((A6-1)/12)+1</s:f>
        <s:v>1</s:v>
      </s:c>
      <s:c r="C6" s="5">
        <s:f>F5</s:f>
        <s:v>4.737</s:v>
      </s:c>
      <s:c r="D6" s="5">
        <s:f>C6*Assumptions!$B$20</s:f>
        <s:v>0.16579500000000003</s:v>
      </s:c>
      <s:c r="E6" s="5">
        <s:f>Acquisition!B6*Assumptions!$B$19</s:f>
        <s:v>4.2</s:v>
      </s:c>
      <s:c r="F6" s="5">
        <s:f>C6-D6+E6</s:f>
        <s:v>8.771205</s:v>
      </s:c>
      <s:c r="G6" s="5">
        <s:f>C6-D6+E6/2</s:f>
        <s:v>6.6712050000000005</s:v>
      </s:c>
      <s:c r="H6" s="5">
        <s:f>G6*Assumptions!$B$9*Assumptions!$B$21</s:f>
        <s:v>759.51668925</s:v>
      </s:c>
      <s:c r="I6" s="5">
        <s:f>H6*Assumptions!$B$11</s:f>
        <s:v>7.5951668925</s:v>
      </s:c>
      <s:c r="J6" s="5">
        <s:f>H6-I6</s:f>
        <s:v>751.9215223575001</s:v>
      </s:c>
      <s:c r="K6" s="5">
        <s:f>H6*Assumptions!$B$12+G6*Assumptions!$B$13</s:f>
        <s:v>29.343962313</s:v>
      </s:c>
      <s:c r="L6" s="5">
        <s:f>G6*(Assumptions!$B$14+Assumptions!$B$15)</s:f>
        <s:v>100.06807500000001</s:v>
      </s:c>
      <s:c r="M6" s="5">
        <s:f>E6*Assumptions!$B$16</s:f>
        <s:v>252.0</s:v>
      </s:c>
      <s:c r="N6" s="5">
        <s:f>SUM(K6:M6)</s:f>
        <s:v>381.412037313</s:v>
      </s:c>
      <s:c r="O6" s="5">
        <s:f>J6-N6</s:f>
        <s:v>370.5094850445001</s:v>
      </s:c>
      <s:c r="P6" s="5">
        <s:f>INDEX(Assumptions!$B$30:$D$30,1,B6)</s:f>
        <s:v>9500.0</s:v>
      </s:c>
      <s:c r="Q6" s="5">
        <s:f>Acquisition!C6</s:f>
        <s:v>0</s:v>
      </s:c>
      <s:c r="R6" s="5">
        <s:f>O6-P6-Q6</s:f>
        <s:v>-9129.4905149555</s:v>
      </s:c>
      <s:c r="S6" s="5">
        <s:f>0</s:f>
        <s:v>0</s:v>
      </s:c>
      <s:c r="T6" s="5">
        <s:f>R6-S6</s:f>
        <s:v>-9129.4905149555</s:v>
      </s:c>
      <s:c r="U6" s="5">
        <s:f>U5+T6</s:f>
        <s:v>112968.54495234448</s:v>
      </s:c>
      <s:c r="V6" s="5">
        <s:f>F6*Assumptions!$B$9*Assumptions!$B$21</s:f>
        <s:v>998.60168925</s:v>
      </s:c>
      <s:c r="W6" s="5">
        <s:f>V6*12</s:f>
        <s:v>11983.220271</s:v>
      </s:c>
    </s:row>
    <s:row r="7">
      <s:c r="A7" s="2" t="n">
        <s:v>6</s:v>
      </s:c>
      <s:c r="B7" s="4">
        <s:f>INT((A7-1)/12)+1</s:f>
        <s:v>1</s:v>
      </s:c>
      <s:c r="C7" s="5">
        <s:f>F6</s:f>
        <s:v>8.771205</s:v>
      </s:c>
      <s:c r="D7" s="5">
        <s:f>C7*Assumptions!$B$20</s:f>
        <s:v>0.30699217500000003</s:v>
      </s:c>
      <s:c r="E7" s="5">
        <s:f>Acquisition!B7*Assumptions!$B$19</s:f>
        <s:v>5.3999999999999995</s:v>
      </s:c>
      <s:c r="F7" s="5">
        <s:f>C7-D7+E7</s:f>
        <s:v>13.864212825</s:v>
      </s:c>
      <s:c r="G7" s="5">
        <s:f>C7-D7+E7/2</s:f>
        <s:v>11.164212825</s:v>
      </s:c>
      <s:c r="H7" s="5">
        <s:f>G7*Assumptions!$B$9*Assumptions!$B$21</s:f>
        <s:v>1271.04563012625</s:v>
      </s:c>
      <s:c r="I7" s="5">
        <s:f>H7*Assumptions!$B$11</s:f>
        <s:v>12.7104563012625</s:v>
      </s:c>
      <s:c r="J7" s="5">
        <s:f>H7-I7</s:f>
        <s:v>1258.3351738249876</s:v>
      </s:c>
      <s:c r="K7" s="5">
        <s:f>H7*Assumptions!$B$12+G7*Assumptions!$B$13</s:f>
        <s:v>49.106906532044995</s:v>
      </s:c>
      <s:c r="L7" s="5">
        <s:f>G7*(Assumptions!$B$14+Assumptions!$B$15)</s:f>
        <s:v>167.463192375</s:v>
      </s:c>
      <s:c r="M7" s="5">
        <s:f>E7*Assumptions!$B$16</s:f>
        <s:v>323.99999999999994</s:v>
      </s:c>
      <s:c r="N7" s="5">
        <s:f>SUM(K7:M7)</s:f>
        <s:v>540.5700989070449</s:v>
      </s:c>
      <s:c r="O7" s="5">
        <s:f>J7-N7</s:f>
        <s:v>717.7650749179427</s:v>
      </s:c>
      <s:c r="P7" s="5">
        <s:f>INDEX(Assumptions!$B$30:$D$30,1,B7)</s:f>
        <s:v>9500.0</s:v>
      </s:c>
      <s:c r="Q7" s="5">
        <s:f>Acquisition!C7</s:f>
        <s:v>0</s:v>
      </s:c>
      <s:c r="R7" s="5">
        <s:f>O7-P7-Q7</s:f>
        <s:v>-8782.234925082057</s:v>
      </s:c>
      <s:c r="S7" s="5">
        <s:f>0</s:f>
        <s:v>0</s:v>
      </s:c>
      <s:c r="T7" s="5">
        <s:f>R7-S7</s:f>
        <s:v>-8782.234925082057</s:v>
      </s:c>
      <s:c r="U7" s="5">
        <s:f>U6+T7</s:f>
        <s:v>104186.31002726243</s:v>
      </s:c>
      <s:c r="V7" s="5">
        <s:f>F7*Assumptions!$B$9*Assumptions!$B$21</s:f>
        <s:v>1578.44063012625</s:v>
      </s:c>
      <s:c r="W7" s="5">
        <s:f>V7*12</s:f>
        <s:v>18941.287561515</s:v>
      </s:c>
    </s:row>
    <s:row r="8">
      <s:c r="A8" s="2" t="n">
        <s:v>7</s:v>
      </s:c>
      <s:c r="B8" s="4">
        <s:f>INT((A8-1)/12)+1</s:f>
        <s:v>1</s:v>
      </s:c>
      <s:c r="C8" s="5">
        <s:f>F7</s:f>
        <s:v>13.864212825</s:v>
      </s:c>
      <s:c r="D8" s="5">
        <s:f>C8*Assumptions!$B$20</s:f>
        <s:v>0.48524744887500004</s:v>
      </s:c>
      <s:c r="E8" s="5">
        <s:f>Acquisition!B8*Assumptions!$B$19</s:f>
        <s:v>6.6</s:v>
      </s:c>
      <s:c r="F8" s="5">
        <s:f>C8-D8+E8</s:f>
        <s:v>19.978965376124997</s:v>
      </s:c>
      <s:c r="G8" s="5">
        <s:f>C8-D8+E8/2</s:f>
        <s:v>16.678965376125</s:v>
      </s:c>
      <s:c r="H8" s="5">
        <s:f>G8*Assumptions!$B$9*Assumptions!$B$21</s:f>
        <s:v>1898.9002080718312</s:v>
      </s:c>
      <s:c r="I8" s="5">
        <s:f>H8*Assumptions!$B$11</s:f>
        <s:v>18.98900208071831</s:v>
      </s:c>
      <s:c r="J8" s="5">
        <s:f>H8-I8</s:f>
        <s:v>1879.9112059911129</s:v>
      </s:c>
      <s:c r="K8" s="5">
        <s:f>H8*Assumptions!$B$12+G8*Assumptions!$B$13</s:f>
        <s:v>73.36409710342342</s:v>
      </s:c>
      <s:c r="L8" s="5">
        <s:f>G8*(Assumptions!$B$14+Assumptions!$B$15)</s:f>
        <s:v>250.18448064187498</s:v>
      </s:c>
      <s:c r="M8" s="5">
        <s:f>E8*Assumptions!$B$16</s:f>
        <s:v>396.0</s:v>
      </s:c>
      <s:c r="N8" s="5">
        <s:f>SUM(K8:M8)</s:f>
        <s:v>719.5485777452984</s:v>
      </s:c>
      <s:c r="O8" s="5">
        <s:f>J8-N8</s:f>
        <s:v>1160.3626282458144</s:v>
      </s:c>
      <s:c r="P8" s="5">
        <s:f>INDEX(Assumptions!$B$30:$D$30,1,B8)</s:f>
        <s:v>9500.0</s:v>
      </s:c>
      <s:c r="Q8" s="5">
        <s:f>Acquisition!C8</s:f>
        <s:v>0</s:v>
      </s:c>
      <s:c r="R8" s="5">
        <s:f>O8-P8-Q8</s:f>
        <s:v>-8339.637371754186</s:v>
      </s:c>
      <s:c r="S8" s="5">
        <s:f>0</s:f>
        <s:v>0</s:v>
      </s:c>
      <s:c r="T8" s="5">
        <s:f>R8-S8</s:f>
        <s:v>-8339.637371754186</s:v>
      </s:c>
      <s:c r="U8" s="5">
        <s:f>U7+T8</s:f>
        <s:v>95846.67265550824</s:v>
      </s:c>
      <s:c r="V8" s="5">
        <s:f>F8*Assumptions!$B$9*Assumptions!$B$21</s:f>
        <s:v>2274.605208071831</s:v>
      </s:c>
      <s:c r="W8" s="5">
        <s:f>V8*12</s:f>
        <s:v>27295.26249686197</s:v>
      </s:c>
    </s:row>
    <s:row r="9">
      <s:c r="A9" s="2" t="n">
        <s:v>8</s:v>
      </s:c>
      <s:c r="B9" s="4">
        <s:f>INT((A9-1)/12)+1</s:f>
        <s:v>1</s:v>
      </s:c>
      <s:c r="C9" s="5">
        <s:f>F8</s:f>
        <s:v>19.978965376124997</s:v>
      </s:c>
      <s:c r="D9" s="5">
        <s:f>C9*Assumptions!$B$20</s:f>
        <s:v>0.699263788164375</s:v>
      </s:c>
      <s:c r="E9" s="5">
        <s:f>Acquisition!B9*Assumptions!$B$19</s:f>
        <s:v>7.8</s:v>
      </s:c>
      <s:c r="F9" s="5">
        <s:f>C9-D9+E9</s:f>
        <s:v>27.07970158796062</s:v>
      </s:c>
      <s:c r="G9" s="5">
        <s:f>C9-D9+E9/2</s:f>
        <s:v>23.17970158796062</s:v>
      </s:c>
      <s:c r="H9" s="5">
        <s:f>G9*Assumptions!$B$9*Assumptions!$B$21</s:f>
        <s:v>2639.009025789316</s:v>
      </s:c>
      <s:c r="I9" s="5">
        <s:f>H9*Assumptions!$B$11</s:f>
        <s:v>26.390090257893164</s:v>
      </s:c>
      <s:c r="J9" s="5">
        <s:f>H9-I9</s:f>
        <s:v>2612.618935531423</s:v>
      </s:c>
      <s:c r="K9" s="5">
        <s:f>H9*Assumptions!$B$12+G9*Assumptions!$B$13</s:f>
        <s:v>101.95823540480356</s:v>
      </s:c>
      <s:c r="L9" s="5">
        <s:f>G9*(Assumptions!$B$14+Assumptions!$B$15)</s:f>
        <s:v>347.6955238194093</s:v>
      </s:c>
      <s:c r="M9" s="5">
        <s:f>E9*Assumptions!$B$16</s:f>
        <s:v>468.0</s:v>
      </s:c>
      <s:c r="N9" s="5">
        <s:f>SUM(K9:M9)</s:f>
        <s:v>917.6537592242129</s:v>
      </s:c>
      <s:c r="O9" s="5">
        <s:f>J9-N9</s:f>
        <s:v>1694.9651763072102</s:v>
      </s:c>
      <s:c r="P9" s="5">
        <s:f>INDEX(Assumptions!$B$30:$D$30,1,B9)</s:f>
        <s:v>9500.0</s:v>
      </s:c>
      <s:c r="Q9" s="5">
        <s:f>Acquisition!C9</s:f>
        <s:v>0</s:v>
      </s:c>
      <s:c r="R9" s="5">
        <s:f>O9-P9-Q9</s:f>
        <s:v>-7805.034823692789</s:v>
      </s:c>
      <s:c r="S9" s="5">
        <s:f>0</s:f>
        <s:v>0</s:v>
      </s:c>
      <s:c r="T9" s="5">
        <s:f>R9-S9</s:f>
        <s:v>-7805.034823692789</s:v>
      </s:c>
      <s:c r="U9" s="5">
        <s:f>U8+T9</s:f>
        <s:v>88041.63783181546</s:v>
      </s:c>
      <s:c r="V9" s="5">
        <s:f>F9*Assumptions!$B$9*Assumptions!$B$21</s:f>
        <s:v>3083.0240257893165</s:v>
      </s:c>
      <s:c r="W9" s="5">
        <s:f>V9*12</s:f>
        <s:v>36996.2883094718</s:v>
      </s:c>
    </s:row>
    <s:row r="10">
      <s:c r="A10" s="2" t="n">
        <s:v>9</s:v>
      </s:c>
      <s:c r="B10" s="4">
        <s:f>INT((A10-1)/12)+1</s:f>
        <s:v>1</s:v>
      </s:c>
      <s:c r="C10" s="5">
        <s:f>F9</s:f>
        <s:v>27.07970158796062</s:v>
      </s:c>
      <s:c r="D10" s="5">
        <s:f>C10*Assumptions!$B$20</s:f>
        <s:v>0.9477895555786218</s:v>
      </s:c>
      <s:c r="E10" s="5">
        <s:f>Acquisition!B10*Assumptions!$B$19</s:f>
        <s:v>9.0</s:v>
      </s:c>
      <s:c r="F10" s="5">
        <s:f>C10-D10+E10</s:f>
        <s:v>35.131912032382</s:v>
      </s:c>
      <s:c r="G10" s="5">
        <s:f>C10-D10+E10/2</s:f>
        <s:v>30.631912032381997</s:v>
      </s:c>
      <s:c r="H10" s="5">
        <s:f>G10*Assumptions!$B$9*Assumptions!$B$21</s:f>
        <s:v>3487.4431848866902</s:v>
      </s:c>
      <s:c r="I10" s="5">
        <s:f>H10*Assumptions!$B$11</s:f>
        <s:v>34.874431848866905</s:v>
      </s:c>
      <s:c r="J10" s="5">
        <s:f>H10-I10</s:f>
        <s:v>3452.568753037823</s:v>
      </s:c>
      <s:c r="K10" s="5">
        <s:f>H10*Assumptions!$B$12+G10*Assumptions!$B$13</s:f>
        <s:v>134.73752826563543</s:v>
      </s:c>
      <s:c r="L10" s="5">
        <s:f>G10*(Assumptions!$B$14+Assumptions!$B$15)</s:f>
        <s:v>459.47868048572997</s:v>
      </s:c>
      <s:c r="M10" s="5">
        <s:f>E10*Assumptions!$B$16</s:f>
        <s:v>540.0</s:v>
      </s:c>
      <s:c r="N10" s="5">
        <s:f>SUM(K10:M10)</s:f>
        <s:v>1134.2162087513655</s:v>
      </s:c>
      <s:c r="O10" s="5">
        <s:f>J10-N10</s:f>
        <s:v>2318.3525442864575</s:v>
      </s:c>
      <s:c r="P10" s="5">
        <s:f>INDEX(Assumptions!$B$30:$D$30,1,B10)</s:f>
        <s:v>9500.0</s:v>
      </s:c>
      <s:c r="Q10" s="5">
        <s:f>Acquisition!C10</s:f>
        <s:v>0</s:v>
      </s:c>
      <s:c r="R10" s="5">
        <s:f>O10-P10-Q10</s:f>
        <s:v>-7181.6474557135425</s:v>
      </s:c>
      <s:c r="S10" s="5">
        <s:f>0</s:f>
        <s:v>0</s:v>
      </s:c>
      <s:c r="T10" s="5">
        <s:f>R10-S10</s:f>
        <s:v>-7181.6474557135425</s:v>
      </s:c>
      <s:c r="U10" s="5">
        <s:f>U9+T10</s:f>
        <s:v>80859.99037610192</s:v>
      </s:c>
      <s:c r="V10" s="5">
        <s:f>F10*Assumptions!$B$9*Assumptions!$B$21</s:f>
        <s:v>3999.768184886691</s:v>
      </s:c>
      <s:c r="W10" s="5">
        <s:f>V10*12</s:f>
        <s:v>47997.21821864029</s:v>
      </s:c>
    </s:row>
    <s:row r="11">
      <s:c r="A11" s="2" t="n">
        <s:v>10</s:v>
      </s:c>
      <s:c r="B11" s="4">
        <s:f>INT((A11-1)/12)+1</s:f>
        <s:v>1</s:v>
      </s:c>
      <s:c r="C11" s="5">
        <s:f>F10</s:f>
        <s:v>35.131912032382</s:v>
      </s:c>
      <s:c r="D11" s="5">
        <s:f>C11*Assumptions!$B$20</s:f>
        <s:v>1.22961692113337</s:v>
      </s:c>
      <s:c r="E11" s="5">
        <s:f>Acquisition!B11*Assumptions!$B$19</s:f>
        <s:v>10.2</s:v>
      </s:c>
      <s:c r="F11" s="5">
        <s:f>C11-D11+E11</s:f>
        <s:v>44.10229511124862</s:v>
      </s:c>
      <s:c r="G11" s="5">
        <s:f>C11-D11+E11/2</s:f>
        <s:v>39.00229511124863</s:v>
      </s:c>
      <s:c r="H11" s="5">
        <s:f>G11*Assumptions!$B$9*Assumptions!$B$21</s:f>
        <s:v>4440.411298415656</s:v>
      </s:c>
      <s:c r="I11" s="5">
        <s:f>H11*Assumptions!$B$11</s:f>
        <s:v>44.40411298415656</s:v>
      </s:c>
      <s:c r="J11" s="5">
        <s:f>H11-I11</s:f>
        <s:v>4396.0071854315</s:v>
      </s:c>
      <s:c r="K11" s="5">
        <s:f>H11*Assumptions!$B$12+G11*Assumptions!$B$13</s:f>
        <s:v>171.5554952763382</s:v>
      </s:c>
      <s:c r="L11" s="5">
        <s:f>G11*(Assumptions!$B$14+Assumptions!$B$15)</s:f>
        <s:v>585.0344266687295</s:v>
      </s:c>
      <s:c r="M11" s="5">
        <s:f>E11*Assumptions!$B$16</s:f>
        <s:v>612.0</s:v>
      </s:c>
      <s:c r="N11" s="5">
        <s:f>SUM(K11:M11)</s:f>
        <s:v>1368.5899219450675</s:v>
      </s:c>
      <s:c r="O11" s="5">
        <s:f>J11-N11</s:f>
        <s:v>3027.4172634864326</s:v>
      </s:c>
      <s:c r="P11" s="5">
        <s:f>INDEX(Assumptions!$B$30:$D$30,1,B11)</s:f>
        <s:v>9500.0</s:v>
      </s:c>
      <s:c r="Q11" s="5">
        <s:f>Acquisition!C11</s:f>
        <s:v>0</s:v>
      </s:c>
      <s:c r="R11" s="5">
        <s:f>O11-P11-Q11</s:f>
        <s:v>-6472.582736513567</s:v>
      </s:c>
      <s:c r="S11" s="5">
        <s:f>0</s:f>
        <s:v>0</s:v>
      </s:c>
      <s:c r="T11" s="5">
        <s:f>R11-S11</s:f>
        <s:v>-6472.582736513567</s:v>
      </s:c>
      <s:c r="U11" s="5">
        <s:f>U10+T11</s:f>
        <s:v>74387.40763958836</s:v>
      </s:c>
      <s:c r="V11" s="5">
        <s:f>F11*Assumptions!$B$9*Assumptions!$B$21</s:f>
        <s:v>5021.046298415656</s:v>
      </s:c>
      <s:c r="W11" s="5">
        <s:f>V11*12</s:f>
        <s:v>60252.55558098787</s:v>
      </s:c>
    </s:row>
    <s:row r="12">
      <s:c r="A12" s="2" t="n">
        <s:v>11</s:v>
      </s:c>
      <s:c r="B12" s="4">
        <s:f>INT((A12-1)/12)+1</s:f>
        <s:v>1</s:v>
      </s:c>
      <s:c r="C12" s="5">
        <s:f>F11</s:f>
        <s:v>44.10229511124862</s:v>
      </s:c>
      <s:c r="D12" s="5">
        <s:f>C12*Assumptions!$B$20</s:f>
        <s:v>1.543580328893702</s:v>
      </s:c>
      <s:c r="E12" s="5">
        <s:f>Acquisition!B12*Assumptions!$B$19</s:f>
        <s:v>11.4</s:v>
      </s:c>
      <s:c r="F12" s="5">
        <s:f>C12-D12+E12</s:f>
        <s:v>53.95871478235492</s:v>
      </s:c>
      <s:c r="G12" s="5">
        <s:f>C12-D12+E12/2</s:f>
        <s:v>48.25871478235492</s:v>
      </s:c>
      <s:c r="H12" s="5">
        <s:f>G12*Assumptions!$B$9*Assumptions!$B$21</s:f>
        <s:v>5494.254677971108</s:v>
      </s:c>
      <s:c r="I12" s="5">
        <s:f>H12*Assumptions!$B$11</s:f>
        <s:v>54.94254677971109</s:v>
      </s:c>
      <s:c r="J12" s="5">
        <s:f>H12-I12</s:f>
        <s:v>5439.312131191397</s:v>
      </s:c>
      <s:c r="K12" s="5">
        <s:f>H12*Assumptions!$B$12+G12*Assumptions!$B$13</s:f>
        <s:v>212.27078284166637</s:v>
      </s:c>
      <s:c r="L12" s="5">
        <s:f>G12*(Assumptions!$B$14+Assumptions!$B$15)</s:f>
        <s:v>723.8807217353238</s:v>
      </s:c>
      <s:c r="M12" s="5">
        <s:f>E12*Assumptions!$B$16</s:f>
        <s:v>684.0</s:v>
      </s:c>
      <s:c r="N12" s="5">
        <s:f>SUM(K12:M12)</s:f>
        <s:v>1620.1515045769902</s:v>
      </s:c>
      <s:c r="O12" s="5">
        <s:f>J12-N12</s:f>
        <s:v>3819.160626614407</s:v>
      </s:c>
      <s:c r="P12" s="5">
        <s:f>INDEX(Assumptions!$B$30:$D$30,1,B12)</s:f>
        <s:v>9500.0</s:v>
      </s:c>
      <s:c r="Q12" s="5">
        <s:f>Acquisition!C12</s:f>
        <s:v>0</s:v>
      </s:c>
      <s:c r="R12" s="5">
        <s:f>O12-P12-Q12</s:f>
        <s:v>-5680.839373385593</s:v>
      </s:c>
      <s:c r="S12" s="5">
        <s:f>0</s:f>
        <s:v>0</s:v>
      </s:c>
      <s:c r="T12" s="5">
        <s:f>R12-S12</s:f>
        <s:v>-5680.839373385593</s:v>
      </s:c>
      <s:c r="U12" s="5">
        <s:f>U11+T12</s:f>
        <s:v>68706.56826620277</s:v>
      </s:c>
      <s:c r="V12" s="5">
        <s:f>F12*Assumptions!$B$9*Assumptions!$B$21</s:f>
        <s:v>6143.199677971107</s:v>
      </s:c>
      <s:c r="W12" s="5">
        <s:f>V12*12</s:f>
        <s:v>73718.39613565328</s:v>
      </s:c>
    </s:row>
    <s:row r="13">
      <s:c r="A13" s="2" t="n">
        <s:v>12</s:v>
      </s:c>
      <s:c r="B13" s="4">
        <s:f>INT((A13-1)/12)+1</s:f>
        <s:v>1</s:v>
      </s:c>
      <s:c r="C13" s="5">
        <s:f>F12</s:f>
        <s:v>53.95871478235492</s:v>
      </s:c>
      <s:c r="D13" s="5">
        <s:f>C13*Assumptions!$B$20</s:f>
        <s:v>1.8885550173824224</s:v>
      </s:c>
      <s:c r="E13" s="5">
        <s:f>Acquisition!B13*Assumptions!$B$19</s:f>
        <s:v>12.6</s:v>
      </s:c>
      <s:c r="F13" s="5">
        <s:f>C13-D13+E13</s:f>
        <s:v>64.6701597649725</s:v>
      </s:c>
      <s:c r="G13" s="5">
        <s:f>C13-D13+E13/2</s:f>
        <s:v>58.37015976497249</s:v>
      </s:c>
      <s:c r="H13" s="5">
        <s:f>G13*Assumptions!$B$9*Assumptions!$B$21</s:f>
        <s:v>6645.442689242119</s:v>
      </s:c>
      <s:c r="I13" s="5">
        <s:f>H13*Assumptions!$B$11</s:f>
        <s:v>66.4544268924212</s:v>
      </s:c>
      <s:c r="J13" s="5">
        <s:f>H13-I13</s:f>
        <s:v>6578.988262349698</s:v>
      </s:c>
      <s:c r="K13" s="5">
        <s:f>H13*Assumptions!$B$12+G13*Assumptions!$B$13</s:f>
        <s:v>256.746984742208</s:v>
      </s:c>
      <s:c r="L13" s="5">
        <s:f>G13*(Assumptions!$B$14+Assumptions!$B$15)</s:f>
        <s:v>875.5523964745873</s:v>
      </s:c>
      <s:c r="M13" s="5">
        <s:f>E13*Assumptions!$B$16</s:f>
        <s:v>756.0</s:v>
      </s:c>
      <s:c r="N13" s="5">
        <s:f>SUM(K13:M13)</s:f>
        <s:v>1888.2993812167954</s:v>
      </s:c>
      <s:c r="O13" s="5">
        <s:f>J13-N13</s:f>
        <s:v>4690.688881132903</s:v>
      </s:c>
      <s:c r="P13" s="5">
        <s:f>INDEX(Assumptions!$B$30:$D$30,1,B13)</s:f>
        <s:v>9500.0</s:v>
      </s:c>
      <s:c r="Q13" s="5">
        <s:f>Acquisition!C13</s:f>
        <s:v>0</s:v>
      </s:c>
      <s:c r="R13" s="5">
        <s:f>O13-P13-Q13</s:f>
        <s:v>-4809.311118867097</s:v>
      </s:c>
      <s:c r="S13" s="5">
        <s:f>MAX(SUM(R2:R13),0)*Assumptions!$B$17</s:f>
        <s:v>0.0</s:v>
      </s:c>
      <s:c r="T13" s="5">
        <s:f>R13-S13</s:f>
        <s:v>-4809.311118867097</s:v>
      </s:c>
      <s:c r="U13" s="5">
        <s:f>U12+T13</s:f>
        <s:v>63897.25714733567</s:v>
      </s:c>
      <s:c r="V13" s="5">
        <s:f>F13*Assumptions!$B$9*Assumptions!$B$21</s:f>
        <s:v>7362.697689242119</s:v>
      </s:c>
      <s:c r="W13" s="5">
        <s:f>V13*12</s:f>
        <s:v>88352.37227090543</s:v>
      </s:c>
    </s:row>
    <s:row r="14">
      <s:c r="A14" s="2" t="n">
        <s:v>13</s:v>
      </s:c>
      <s:c r="B14" s="4">
        <s:f>INT((A14-1)/12)+1</s:f>
        <s:v>2</s:v>
      </s:c>
      <s:c r="C14" s="5">
        <s:f>F13</s:f>
        <s:v>64.6701597649725</s:v>
      </s:c>
      <s:c r="D14" s="5">
        <s:f>C14*Assumptions!$B$20</s:f>
        <s:v>2.2634555917740378</s:v>
      </s:c>
      <s:c r="E14" s="5">
        <s:f>Acquisition!B14*Assumptions!$B$19</s:f>
        <s:v>15.0</s:v>
      </s:c>
      <s:c r="F14" s="5">
        <s:f>C14-D14+E14</s:f>
        <s:v>77.40670417319845</s:v>
      </s:c>
      <s:c r="G14" s="5">
        <s:f>C14-D14+E14/2</s:f>
        <s:v>69.90670417319845</s:v>
      </s:c>
      <s:c r="H14" s="5">
        <s:f>G14*Assumptions!$B$9*Assumptions!$B$21</s:f>
        <s:v>7958.878270118643</s:v>
      </s:c>
      <s:c r="I14" s="5">
        <s:f>H14*Assumptions!$B$11</s:f>
        <s:v>79.58878270118643</s:v>
      </s:c>
      <s:c r="J14" s="5">
        <s:f>H14-I14</s:f>
        <s:v>7879.289487417456</s:v>
      </s:c>
      <s:c r="K14" s="5">
        <s:f>H14*Assumptions!$B$12+G14*Assumptions!$B$13</s:f>
        <s:v>307.4916289762307</s:v>
      </s:c>
      <s:c r="L14" s="5">
        <s:f>G14*(Assumptions!$B$14+Assumptions!$B$15)</s:f>
        <s:v>1048.6005625979767</s:v>
      </s:c>
      <s:c r="M14" s="5">
        <s:f>E14*Assumptions!$B$16</s:f>
        <s:v>900.0</s:v>
      </s:c>
      <s:c r="N14" s="5">
        <s:f>SUM(K14:M14)</s:f>
        <s:v>2256.0921915742074</s:v>
      </s:c>
      <s:c r="O14" s="5">
        <s:f>J14-N14</s:f>
        <s:v>5623.197295843249</s:v>
      </s:c>
      <s:c r="P14" s="5">
        <s:f>INDEX(Assumptions!$B$30:$D$30,1,B14)</s:f>
        <s:v>15500.0</s:v>
      </s:c>
      <s:c r="Q14" s="5">
        <s:f>Acquisition!C14</s:f>
        <s:v>0</s:v>
      </s:c>
      <s:c r="R14" s="5">
        <s:f>O14-P14-Q14</s:f>
        <s:v>-9876.802704156751</s:v>
      </s:c>
      <s:c r="S14" s="5">
        <s:f>0</s:f>
        <s:v>0</s:v>
      </s:c>
      <s:c r="T14" s="5">
        <s:f>R14-S14</s:f>
        <s:v>-9876.802704156751</s:v>
      </s:c>
      <s:c r="U14" s="5">
        <s:f>U13+T14</s:f>
        <s:v>54020.454443178925</s:v>
      </s:c>
      <s:c r="V14" s="5">
        <s:f>F14*Assumptions!$B$9*Assumptions!$B$21</s:f>
        <s:v>8812.753270118643</s:v>
      </s:c>
      <s:c r="W14" s="5">
        <s:f>V14*12</s:f>
        <s:v>105753.03924142371</s:v>
      </s:c>
    </s:row>
    <s:row r="15">
      <s:c r="A15" s="2" t="n">
        <s:v>14</s:v>
      </s:c>
      <s:c r="B15" s="4">
        <s:f>INT((A15-1)/12)+1</s:f>
        <s:v>2</s:v>
      </s:c>
      <s:c r="C15" s="5">
        <s:f>F14</s:f>
        <s:v>77.40670417319845</s:v>
      </s:c>
      <s:c r="D15" s="5">
        <s:f>C15*Assumptions!$B$20</s:f>
        <s:v>2.709234646061946</s:v>
      </s:c>
      <s:c r="E15" s="5">
        <s:f>Acquisition!B15*Assumptions!$B$19</s:f>
        <s:v>15.0</s:v>
      </s:c>
      <s:c r="F15" s="5">
        <s:f>C15-D15+E15</s:f>
        <s:v>89.6974695271365</s:v>
      </s:c>
      <s:c r="G15" s="5">
        <s:f>C15-D15+E15/2</s:f>
        <s:v>82.1974695271365</s:v>
      </s:c>
      <s:c r="H15" s="5">
        <s:f>G15*Assumptions!$B$9*Assumptions!$B$21</s:f>
        <s:v>9358.18190566449</s:v>
      </s:c>
      <s:c r="I15" s="5">
        <s:f>H15*Assumptions!$B$11</s:f>
        <s:v>93.5818190566449</s:v>
      </s:c>
      <s:c r="J15" s="5">
        <s:f>H15-I15</s:f>
        <s:v>9264.600086607847</s:v>
      </s:c>
      <s:c r="K15" s="5">
        <s:f>H15*Assumptions!$B$12+G15*Assumptions!$B$13</s:f>
        <s:v>361.5537894620626</s:v>
      </s:c>
      <s:c r="L15" s="5">
        <s:f>G15*(Assumptions!$B$14+Assumptions!$B$15)</s:f>
        <s:v>1232.9620429070476</s:v>
      </s:c>
      <s:c r="M15" s="5">
        <s:f>E15*Assumptions!$B$16</s:f>
        <s:v>900.0</s:v>
      </s:c>
      <s:c r="N15" s="5">
        <s:f>SUM(K15:M15)</s:f>
        <s:v>2494.5158323691103</s:v>
      </s:c>
      <s:c r="O15" s="5">
        <s:f>J15-N15</s:f>
        <s:v>6770.084254238736</s:v>
      </s:c>
      <s:c r="P15" s="5">
        <s:f>INDEX(Assumptions!$B$30:$D$30,1,B15)</s:f>
        <s:v>15500.0</s:v>
      </s:c>
      <s:c r="Q15" s="5">
        <s:f>Acquisition!C15</s:f>
        <s:v>0</s:v>
      </s:c>
      <s:c r="R15" s="5">
        <s:f>O15-P15-Q15</s:f>
        <s:v>-8729.915745761264</s:v>
      </s:c>
      <s:c r="S15" s="5">
        <s:f>0</s:f>
        <s:v>0</s:v>
      </s:c>
      <s:c r="T15" s="5">
        <s:f>R15-S15</s:f>
        <s:v>-8729.915745761264</s:v>
      </s:c>
      <s:c r="U15" s="5">
        <s:f>U14+T15</s:f>
        <s:v>45290.538697417665</s:v>
      </s:c>
      <s:c r="V15" s="5">
        <s:f>F15*Assumptions!$B$9*Assumptions!$B$21</s:f>
        <s:v>10212.05690566449</s:v>
      </s:c>
      <s:c r="W15" s="5">
        <s:f>V15*12</s:f>
        <s:v>122544.6828679739</s:v>
      </s:c>
    </s:row>
    <s:row r="16">
      <s:c r="A16" s="2" t="n">
        <s:v>15</s:v>
      </s:c>
      <s:c r="B16" s="4">
        <s:f>INT((A16-1)/12)+1</s:f>
        <s:v>2</s:v>
      </s:c>
      <s:c r="C16" s="5">
        <s:f>F15</s:f>
        <s:v>89.6974695271365</s:v>
      </s:c>
      <s:c r="D16" s="5">
        <s:f>C16*Assumptions!$B$20</s:f>
        <s:v>3.139411433449778</s:v>
      </s:c>
      <s:c r="E16" s="5">
        <s:f>Acquisition!B16*Assumptions!$B$19</s:f>
        <s:v>15.0</s:v>
      </s:c>
      <s:c r="F16" s="5">
        <s:f>C16-D16+E16</s:f>
        <s:v>101.55805809368672</s:v>
      </s:c>
      <s:c r="G16" s="5">
        <s:f>C16-D16+E16/2</s:f>
        <s:v>94.05805809368672</s:v>
      </s:c>
      <s:c r="H16" s="5">
        <s:f>G16*Assumptions!$B$9*Assumptions!$B$21</s:f>
        <s:v>10708.509913966234</s:v>
      </s:c>
      <s:c r="I16" s="5">
        <s:f>H16*Assumptions!$B$11</s:f>
        <s:v>107.08509913966235</s:v>
      </s:c>
      <s:c r="J16" s="5">
        <s:f>H16-I16</s:f>
        <s:v>10601.424814826572</s:v>
      </s:c>
      <s:c r="K16" s="5">
        <s:f>H16*Assumptions!$B$12+G16*Assumptions!$B$13</s:f>
        <s:v>413.7237743308905</s:v>
      </s:c>
      <s:c r="L16" s="5">
        <s:f>G16*(Assumptions!$B$14+Assumptions!$B$15)</s:f>
        <s:v>1410.870871405301</s:v>
      </s:c>
      <s:c r="M16" s="5">
        <s:f>E16*Assumptions!$B$16</s:f>
        <s:v>900.0</s:v>
      </s:c>
      <s:c r="N16" s="5">
        <s:f>SUM(K16:M16)</s:f>
        <s:v>2724.5946457361915</s:v>
      </s:c>
      <s:c r="O16" s="5">
        <s:f>J16-N16</s:f>
        <s:v>7876.830169090381</s:v>
      </s:c>
      <s:c r="P16" s="5">
        <s:f>INDEX(Assumptions!$B$30:$D$30,1,B16)</s:f>
        <s:v>15500.0</s:v>
      </s:c>
      <s:c r="Q16" s="5">
        <s:f>Acquisition!C16</s:f>
        <s:v>0</s:v>
      </s:c>
      <s:c r="R16" s="5">
        <s:f>O16-P16-Q16</s:f>
        <s:v>-7623.169830909619</s:v>
      </s:c>
      <s:c r="S16" s="5">
        <s:f>0</s:f>
        <s:v>0</s:v>
      </s:c>
      <s:c r="T16" s="5">
        <s:f>R16-S16</s:f>
        <s:v>-7623.169830909619</s:v>
      </s:c>
      <s:c r="U16" s="5">
        <s:f>U15+T16</s:f>
        <s:v>37667.36886650805</s:v>
      </s:c>
      <s:c r="V16" s="5">
        <s:f>F16*Assumptions!$B$9*Assumptions!$B$21</s:f>
        <s:v>11562.384913966234</s:v>
      </s:c>
      <s:c r="W16" s="5">
        <s:f>V16*12</s:f>
        <s:v>138748.6189675948</s:v>
      </s:c>
    </s:row>
    <s:row r="17">
      <s:c r="A17" s="2" t="n">
        <s:v>16</s:v>
      </s:c>
      <s:c r="B17" s="4">
        <s:f>INT((A17-1)/12)+1</s:f>
        <s:v>2</s:v>
      </s:c>
      <s:c r="C17" s="5">
        <s:f>F16</s:f>
        <s:v>101.55805809368672</s:v>
      </s:c>
      <s:c r="D17" s="5">
        <s:f>C17*Assumptions!$B$20</s:f>
        <s:v>3.5545320332790356</s:v>
      </s:c>
      <s:c r="E17" s="5">
        <s:f>Acquisition!B17*Assumptions!$B$19</s:f>
        <s:v>15.0</s:v>
      </s:c>
      <s:c r="F17" s="5">
        <s:f>C17-D17+E17</s:f>
        <s:v>113.0035260604077</s:v>
      </s:c>
      <s:c r="G17" s="5">
        <s:f>C17-D17+E17/2</s:f>
        <s:v>105.5035260604077</s:v>
      </s:c>
      <s:c r="H17" s="5">
        <s:f>G17*Assumptions!$B$9*Assumptions!$B$21</s:f>
        <s:v>12011.576441977417</s:v>
      </s:c>
      <s:c r="I17" s="5">
        <s:f>H17*Assumptions!$B$11</s:f>
        <s:v>120.11576441977417</s:v>
      </s:c>
      <s:c r="J17" s="5">
        <s:f>H17-I17</s:f>
        <s:v>11891.460677557643</s:v>
      </s:c>
      <s:c r="K17" s="5">
        <s:f>H17*Assumptions!$B$12+G17*Assumptions!$B$13</s:f>
        <s:v>464.06780972930926</s:v>
      </s:c>
      <s:c r="L17" s="5">
        <s:f>G17*(Assumptions!$B$14+Assumptions!$B$15)</s:f>
        <s:v>1582.5528909061154</s:v>
      </s:c>
      <s:c r="M17" s="5">
        <s:f>E17*Assumptions!$B$16</s:f>
        <s:v>900.0</s:v>
      </s:c>
      <s:c r="N17" s="5">
        <s:f>SUM(K17:M17)</s:f>
        <s:v>2946.620700635425</s:v>
      </s:c>
      <s:c r="O17" s="5">
        <s:f>J17-N17</s:f>
        <s:v>8944.839976922218</s:v>
      </s:c>
      <s:c r="P17" s="5">
        <s:f>INDEX(Assumptions!$B$30:$D$30,1,B17)</s:f>
        <s:v>15500.0</s:v>
      </s:c>
      <s:c r="Q17" s="5">
        <s:f>Acquisition!C17</s:f>
        <s:v>0</s:v>
      </s:c>
      <s:c r="R17" s="5">
        <s:f>O17-P17-Q17</s:f>
        <s:v>-6555.160023077782</s:v>
      </s:c>
      <s:c r="S17" s="5">
        <s:f>0</s:f>
        <s:v>0</s:v>
      </s:c>
      <s:c r="T17" s="5">
        <s:f>R17-S17</s:f>
        <s:v>-6555.160023077782</s:v>
      </s:c>
      <s:c r="U17" s="5">
        <s:f>U16+T17</s:f>
        <s:v>31112.208843430264</s:v>
      </s:c>
      <s:c r="V17" s="5">
        <s:f>F17*Assumptions!$B$9*Assumptions!$B$21</s:f>
        <s:v>12865.451441977417</s:v>
      </s:c>
      <s:c r="W17" s="5">
        <s:f>V17*12</s:f>
        <s:v>154385.417303729</s:v>
      </s:c>
    </s:row>
    <s:row r="18">
      <s:c r="A18" s="2" t="n">
        <s:v>17</s:v>
      </s:c>
      <s:c r="B18" s="4">
        <s:f>INT((A18-1)/12)+1</s:f>
        <s:v>2</s:v>
      </s:c>
      <s:c r="C18" s="5">
        <s:f>F17</s:f>
        <s:v>113.0035260604077</s:v>
      </s:c>
      <s:c r="D18" s="5">
        <s:f>C18*Assumptions!$B$20</s:f>
        <s:v>3.9551234121142698</s:v>
      </s:c>
      <s:c r="E18" s="5">
        <s:f>Acquisition!B18*Assumptions!$B$19</s:f>
        <s:v>15.0</s:v>
      </s:c>
      <s:c r="F18" s="5">
        <s:f>C18-D18+E18</s:f>
        <s:v>124.04840264829342</s:v>
      </s:c>
      <s:c r="G18" s="5">
        <s:f>C18-D18+E18/2</s:f>
        <s:v>116.54840264829342</s:v>
      </s:c>
      <s:c r="H18" s="5">
        <s:f>G18*Assumptions!$B$9*Assumptions!$B$21</s:f>
        <s:v>13269.035641508206</s:v>
      </s:c>
      <s:c r="I18" s="5">
        <s:f>H18*Assumptions!$B$11</s:f>
        <s:v>132.69035641508205</s:v>
      </s:c>
      <s:c r="J18" s="5">
        <s:f>H18-I18</s:f>
        <s:v>13136.345285093124</s:v>
      </s:c>
      <s:c r="K18" s="5">
        <s:f>H18*Assumptions!$B$12+G18*Assumptions!$B$13</s:f>
        <s:v>512.6498038887834</s:v>
      </s:c>
      <s:c r="L18" s="5">
        <s:f>G18*(Assumptions!$B$14+Assumptions!$B$15)</s:f>
        <s:v>1748.2260397244013</s:v>
      </s:c>
      <s:c r="M18" s="5">
        <s:f>E18*Assumptions!$B$16</s:f>
        <s:v>900.0</s:v>
      </s:c>
      <s:c r="N18" s="5">
        <s:f>SUM(K18:M18)</s:f>
        <s:v>3160.8758436131848</s:v>
      </s:c>
      <s:c r="O18" s="5">
        <s:f>J18-N18</s:f>
        <s:v>9975.46944147994</s:v>
      </s:c>
      <s:c r="P18" s="5">
        <s:f>INDEX(Assumptions!$B$30:$D$30,1,B18)</s:f>
        <s:v>15500.0</s:v>
      </s:c>
      <s:c r="Q18" s="5">
        <s:f>Acquisition!C18</s:f>
        <s:v>0</s:v>
      </s:c>
      <s:c r="R18" s="5">
        <s:f>O18-P18-Q18</s:f>
        <s:v>-5524.53055852006</s:v>
      </s:c>
      <s:c r="S18" s="5">
        <s:f>0</s:f>
        <s:v>0</s:v>
      </s:c>
      <s:c r="T18" s="5">
        <s:f>R18-S18</s:f>
        <s:v>-5524.53055852006</s:v>
      </s:c>
      <s:c r="U18" s="5">
        <s:f>U17+T18</s:f>
        <s:v>25587.678284910202</s:v>
      </s:c>
      <s:c r="V18" s="5">
        <s:f>F18*Assumptions!$B$9*Assumptions!$B$21</s:f>
        <s:v>14122.910641508206</s:v>
      </s:c>
      <s:c r="W18" s="5">
        <s:f>V18*12</s:f>
        <s:v>169474.92769809847</s:v>
      </s:c>
    </s:row>
    <s:row r="19">
      <s:c r="A19" s="2" t="n">
        <s:v>18</s:v>
      </s:c>
      <s:c r="B19" s="4">
        <s:f>INT((A19-1)/12)+1</s:f>
        <s:v>2</s:v>
      </s:c>
      <s:c r="C19" s="5">
        <s:f>F18</s:f>
        <s:v>124.04840264829342</s:v>
      </s:c>
      <s:c r="D19" s="5">
        <s:f>C19*Assumptions!$B$20</s:f>
        <s:v>4.34169409269027</s:v>
      </s:c>
      <s:c r="E19" s="5">
        <s:f>Acquisition!B19*Assumptions!$B$19</s:f>
        <s:v>15.0</s:v>
      </s:c>
      <s:c r="F19" s="5">
        <s:f>C19-D19+E19</s:f>
        <s:v>134.70670855560314</s:v>
      </s:c>
      <s:c r="G19" s="5">
        <s:f>C19-D19+E19/2</s:f>
        <s:v>127.20670855560314</s:v>
      </s:c>
      <s:c r="H19" s="5">
        <s:f>G19*Assumptions!$B$9*Assumptions!$B$21</s:f>
        <s:v>14482.483769055418</s:v>
      </s:c>
      <s:c r="I19" s="5">
        <s:f>H19*Assumptions!$B$11</s:f>
        <s:v>144.82483769055418</s:v>
      </s:c>
      <s:c r="J19" s="5">
        <s:f>H19-I19</s:f>
        <s:v>14337.658931364864</s:v>
      </s:c>
      <s:c r="K19" s="5">
        <s:f>H19*Assumptions!$B$12+G19*Assumptions!$B$13</s:f>
        <s:v>559.5314282526759</s:v>
      </s:c>
      <s:c r="L19" s="5">
        <s:f>G19*(Assumptions!$B$14+Assumptions!$B$15)</s:f>
        <s:v>1908.100628334047</s:v>
      </s:c>
      <s:c r="M19" s="5">
        <s:f>E19*Assumptions!$B$16</s:f>
        <s:v>900.0</s:v>
      </s:c>
      <s:c r="N19" s="5">
        <s:f>SUM(K19:M19)</s:f>
        <s:v>3367.632056586723</s:v>
      </s:c>
      <s:c r="O19" s="5">
        <s:f>J19-N19</s:f>
        <s:v>10970.026874778141</s:v>
      </s:c>
      <s:c r="P19" s="5">
        <s:f>INDEX(Assumptions!$B$30:$D$30,1,B19)</s:f>
        <s:v>15500.0</s:v>
      </s:c>
      <s:c r="Q19" s="5">
        <s:f>Acquisition!C19</s:f>
        <s:v>0</s:v>
      </s:c>
      <s:c r="R19" s="5">
        <s:f>O19-P19-Q19</s:f>
        <s:v>-4529.973125221859</s:v>
      </s:c>
      <s:c r="S19" s="5">
        <s:f>0</s:f>
        <s:v>0</s:v>
      </s:c>
      <s:c r="T19" s="5">
        <s:f>R19-S19</s:f>
        <s:v>-4529.973125221859</s:v>
      </s:c>
      <s:c r="U19" s="5">
        <s:f>U18+T19</s:f>
        <s:v>21057.705159688343</s:v>
      </s:c>
      <s:c r="V19" s="5">
        <s:f>F19*Assumptions!$B$9*Assumptions!$B$21</s:f>
        <s:v>15336.35876905542</s:v>
      </s:c>
      <s:c r="W19" s="5">
        <s:f>V19*12</s:f>
        <s:v>184036.30522866503</s:v>
      </s:c>
    </s:row>
    <s:row r="20">
      <s:c r="A20" s="2" t="n">
        <s:v>19</s:v>
      </s:c>
      <s:c r="B20" s="4">
        <s:f>INT((A20-1)/12)+1</s:f>
        <s:v>2</s:v>
      </s:c>
      <s:c r="C20" s="5">
        <s:f>F19</s:f>
        <s:v>134.70670855560314</s:v>
      </s:c>
      <s:c r="D20" s="5">
        <s:f>C20*Assumptions!$B$20</s:f>
        <s:v>4.71473479944611</s:v>
      </s:c>
      <s:c r="E20" s="5">
        <s:f>Acquisition!B20*Assumptions!$B$19</s:f>
        <s:v>15.0</s:v>
      </s:c>
      <s:c r="F20" s="5">
        <s:f>C20-D20+E20</s:f>
        <s:v>144.99197375615702</s:v>
      </s:c>
      <s:c r="G20" s="5">
        <s:f>C20-D20+E20/2</s:f>
        <s:v>137.49197375615702</s:v>
      </s:c>
      <s:c r="H20" s="5">
        <s:f>G20*Assumptions!$B$9*Assumptions!$B$21</s:f>
        <s:v>15653.461212138476</s:v>
      </s:c>
      <s:c r="I20" s="5">
        <s:f>H20*Assumptions!$B$11</s:f>
        <s:v>156.53461212138475</s:v>
      </s:c>
      <s:c r="J20" s="5">
        <s:f>H20-I20</s:f>
        <s:v>15496.926600017092</s:v>
      </s:c>
      <s:c r="K20" s="5">
        <s:f>H20*Assumptions!$B$12+G20*Assumptions!$B$13</s:f>
        <s:v>604.7721957638322</s:v>
      </s:c>
      <s:c r="L20" s="5">
        <s:f>G20*(Assumptions!$B$14+Assumptions!$B$15)</s:f>
        <s:v>2062.379606342355</s:v>
      </s:c>
      <s:c r="M20" s="5">
        <s:f>E20*Assumptions!$B$16</s:f>
        <s:v>900.0</s:v>
      </s:c>
      <s:c r="N20" s="5">
        <s:f>SUM(K20:M20)</s:f>
        <s:v>3567.1518021061875</s:v>
      </s:c>
      <s:c r="O20" s="5">
        <s:f>J20-N20</s:f>
        <s:v>11929.774797910904</s:v>
      </s:c>
      <s:c r="P20" s="5">
        <s:f>INDEX(Assumptions!$B$30:$D$30,1,B20)</s:f>
        <s:v>15500.0</s:v>
      </s:c>
      <s:c r="Q20" s="5">
        <s:f>Acquisition!C20</s:f>
        <s:v>0</s:v>
      </s:c>
      <s:c r="R20" s="5">
        <s:f>O20-P20-Q20</s:f>
        <s:v>-3570.2252020890955</s:v>
      </s:c>
      <s:c r="S20" s="5">
        <s:f>0</s:f>
        <s:v>0</s:v>
      </s:c>
      <s:c r="T20" s="5">
        <s:f>R20-S20</s:f>
        <s:v>-3570.2252020890955</s:v>
      </s:c>
      <s:c r="U20" s="5">
        <s:f>U19+T20</s:f>
        <s:v>17487.479957599247</s:v>
      </s:c>
      <s:c r="V20" s="5">
        <s:f>F20*Assumptions!$B$9*Assumptions!$B$21</s:f>
        <s:v>16507.336212138478</s:v>
      </s:c>
      <s:c r="W20" s="5">
        <s:f>V20*12</s:f>
        <s:v>198088.03454566174</s:v>
      </s:c>
    </s:row>
    <s:row r="21">
      <s:c r="A21" s="2" t="n">
        <s:v>20</s:v>
      </s:c>
      <s:c r="B21" s="4">
        <s:f>INT((A21-1)/12)+1</s:f>
        <s:v>2</s:v>
      </s:c>
      <s:c r="C21" s="5">
        <s:f>F20</s:f>
        <s:v>144.99197375615702</s:v>
      </s:c>
      <s:c r="D21" s="5">
        <s:f>C21*Assumptions!$B$20</s:f>
        <s:v>5.0747190814654966</s:v>
      </s:c>
      <s:c r="E21" s="5">
        <s:f>Acquisition!B21*Assumptions!$B$19</s:f>
        <s:v>15.0</s:v>
      </s:c>
      <s:c r="F21" s="5">
        <s:f>C21-D21+E21</s:f>
        <s:v>154.91725467469152</s:v>
      </s:c>
      <s:c r="G21" s="5">
        <s:f>C21-D21+E21/2</s:f>
        <s:v>147.41725467469152</s:v>
      </s:c>
      <s:c r="H21" s="5">
        <s:f>G21*Assumptions!$B$9*Assumptions!$B$21</s:f>
        <s:v>16783.45444471363</s:v>
      </s:c>
      <s:c r="I21" s="5">
        <s:f>H21*Assumptions!$B$11</s:f>
        <s:v>167.8345444471363</s:v>
      </s:c>
      <s:c r="J21" s="5">
        <s:f>H21-I21</s:f>
        <s:v>16615.61990026649</s:v>
      </s:c>
      <s:c r="K21" s="5">
        <s:f>H21*Assumptions!$B$12+G21*Assumptions!$B$13</s:f>
        <s:v>648.4295364120981</s:v>
      </s:c>
      <s:c r="L21" s="5">
        <s:f>G21*(Assumptions!$B$14+Assumptions!$B$15)</s:f>
        <s:v>2211.258820120373</s:v>
      </s:c>
      <s:c r="M21" s="5">
        <s:f>E21*Assumptions!$B$16</s:f>
        <s:v>900.0</s:v>
      </s:c>
      <s:c r="N21" s="5">
        <s:f>SUM(K21:M21)</s:f>
        <s:v>3759.688356532471</s:v>
      </s:c>
      <s:c r="O21" s="5">
        <s:f>J21-N21</s:f>
        <s:v>12855.93154373402</s:v>
      </s:c>
      <s:c r="P21" s="5">
        <s:f>INDEX(Assumptions!$B$30:$D$30,1,B21)</s:f>
        <s:v>15500.0</s:v>
      </s:c>
      <s:c r="Q21" s="5">
        <s:f>Acquisition!C21</s:f>
        <s:v>0</s:v>
      </s:c>
      <s:c r="R21" s="5">
        <s:f>O21-P21-Q21</s:f>
        <s:v>-2644.068456265981</s:v>
      </s:c>
      <s:c r="S21" s="5">
        <s:f>0</s:f>
        <s:v>0</s:v>
      </s:c>
      <s:c r="T21" s="5">
        <s:f>R21-S21</s:f>
        <s:v>-2644.068456265981</s:v>
      </s:c>
      <s:c r="U21" s="5">
        <s:f>U20+T21</s:f>
        <s:v>14843.411501333267</s:v>
      </s:c>
      <s:c r="V21" s="5">
        <s:f>F21*Assumptions!$B$9*Assumptions!$B$21</s:f>
        <s:v>17637.32944471363</s:v>
      </s:c>
      <s:c r="W21" s="5">
        <s:f>V21*12</s:f>
        <s:v>211647.95333656354</s:v>
      </s:c>
    </s:row>
    <s:row r="22">
      <s:c r="A22" s="2" t="n">
        <s:v>21</s:v>
      </s:c>
      <s:c r="B22" s="4">
        <s:f>INT((A22-1)/12)+1</s:f>
        <s:v>2</s:v>
      </s:c>
      <s:c r="C22" s="5">
        <s:f>F21</s:f>
        <s:v>154.91725467469152</s:v>
      </s:c>
      <s:c r="D22" s="5">
        <s:f>C22*Assumptions!$B$20</s:f>
        <s:v>5.422103913614204</s:v>
      </s:c>
      <s:c r="E22" s="5">
        <s:f>Acquisition!B22*Assumptions!$B$19</s:f>
        <s:v>15.0</s:v>
      </s:c>
      <s:c r="F22" s="5">
        <s:f>C22-D22+E22</s:f>
        <s:v>164.49515076107733</s:v>
      </s:c>
      <s:c r="G22" s="5">
        <s:f>C22-D22+E22/2</s:f>
        <s:v>156.99515076107733</s:v>
      </s:c>
      <s:c r="H22" s="5">
        <s:f>G22*Assumptions!$B$9*Assumptions!$B$21</s:f>
        <s:v>17873.897914148652</s:v>
      </s:c>
      <s:c r="I22" s="5">
        <s:f>H22*Assumptions!$B$11</s:f>
        <s:v>178.73897914148654</s:v>
      </s:c>
      <s:c r="J22" s="5">
        <s:f>H22-I22</s:f>
        <s:v>17695.158935007166</s:v>
      </s:c>
      <s:c r="K22" s="5">
        <s:f>H22*Assumptions!$B$12+G22*Assumptions!$B$13</s:f>
        <s:v>690.5588701376747</s:v>
      </s:c>
      <s:c r="L22" s="5">
        <s:f>G22*(Assumptions!$B$14+Assumptions!$B$15)</s:f>
        <s:v>2354.92726141616</s:v>
      </s:c>
      <s:c r="M22" s="5">
        <s:f>E22*Assumptions!$B$16</s:f>
        <s:v>900.0</s:v>
      </s:c>
      <s:c r="N22" s="5">
        <s:f>SUM(K22:M22)</s:f>
        <s:v>3945.4861315538346</s:v>
      </s:c>
      <s:c r="O22" s="5">
        <s:f>J22-N22</s:f>
        <s:v>13749.672803453332</s:v>
      </s:c>
      <s:c r="P22" s="5">
        <s:f>INDEX(Assumptions!$B$30:$D$30,1,B22)</s:f>
        <s:v>15500.0</s:v>
      </s:c>
      <s:c r="Q22" s="5">
        <s:f>Acquisition!C22</s:f>
        <s:v>0</s:v>
      </s:c>
      <s:c r="R22" s="5">
        <s:f>O22-P22-Q22</s:f>
        <s:v>-1750.3271965466683</s:v>
      </s:c>
      <s:c r="S22" s="5">
        <s:f>0</s:f>
        <s:v>0</s:v>
      </s:c>
      <s:c r="T22" s="5">
        <s:f>R22-S22</s:f>
        <s:v>-1750.3271965466683</s:v>
      </s:c>
      <s:c r="U22" s="5">
        <s:f>U21+T22</s:f>
        <s:v>13093.084304786598</s:v>
      </s:c>
      <s:c r="V22" s="5">
        <s:f>F22*Assumptions!$B$9*Assumptions!$B$21</s:f>
        <s:v>18727.772914148652</s:v>
      </s:c>
      <s:c r="W22" s="5">
        <s:f>V22*12</s:f>
        <s:v>224733.27496978384</s:v>
      </s:c>
    </s:row>
    <s:row r="23">
      <s:c r="A23" s="2" t="n">
        <s:v>22</s:v>
      </s:c>
      <s:c r="B23" s="4">
        <s:f>INT((A23-1)/12)+1</s:f>
        <s:v>2</s:v>
      </s:c>
      <s:c r="C23" s="5">
        <s:f>F22</s:f>
        <s:v>164.49515076107733</s:v>
      </s:c>
      <s:c r="D23" s="5">
        <s:f>C23*Assumptions!$B$20</s:f>
        <s:v>5.757330276637707</s:v>
      </s:c>
      <s:c r="E23" s="5">
        <s:f>Acquisition!B23*Assumptions!$B$19</s:f>
        <s:v>15.0</s:v>
      </s:c>
      <s:c r="F23" s="5">
        <s:f>C23-D23+E23</s:f>
        <s:v>173.73782048443962</s:v>
      </s:c>
      <s:c r="G23" s="5">
        <s:f>C23-D23+E23/2</s:f>
        <s:v>166.23782048443962</s:v>
      </s:c>
      <s:c r="H23" s="5">
        <s:f>G23*Assumptions!$B$9*Assumptions!$B$21</s:f>
        <s:v>18926.17586215345</s:v>
      </s:c>
      <s:c r="I23" s="5">
        <s:f>H23*Assumptions!$B$11</s:f>
        <s:v>189.2617586215345</s:v>
      </s:c>
      <s:c r="J23" s="5">
        <s:f>H23-I23</s:f>
        <s:v>18736.914103531915</s:v>
      </s:c>
      <s:c r="K23" s="5">
        <s:f>H23*Assumptions!$B$12+G23*Assumptions!$B$13</s:f>
        <s:v>731.213677182856</s:v>
      </s:c>
      <s:c r="L23" s="5">
        <s:f>G23*(Assumptions!$B$14+Assumptions!$B$15)</s:f>
        <s:v>2493.5673072665945</s:v>
      </s:c>
      <s:c r="M23" s="5">
        <s:f>E23*Assumptions!$B$16</s:f>
        <s:v>900.0</s:v>
      </s:c>
      <s:c r="N23" s="5">
        <s:f>SUM(K23:M23)</s:f>
        <s:v>4124.78098444945</s:v>
      </s:c>
      <s:c r="O23" s="5">
        <s:f>J23-N23</s:f>
        <s:v>14612.133119082464</s:v>
      </s:c>
      <s:c r="P23" s="5">
        <s:f>INDEX(Assumptions!$B$30:$D$30,1,B23)</s:f>
        <s:v>15500.0</s:v>
      </s:c>
      <s:c r="Q23" s="5">
        <s:f>Acquisition!C23</s:f>
        <s:v>0</s:v>
      </s:c>
      <s:c r="R23" s="5">
        <s:f>O23-P23-Q23</s:f>
        <s:v>-887.866880917536</s:v>
      </s:c>
      <s:c r="S23" s="5">
        <s:f>0</s:f>
        <s:v>0</s:v>
      </s:c>
      <s:c r="T23" s="5">
        <s:f>R23-S23</s:f>
        <s:v>-887.866880917536</s:v>
      </s:c>
      <s:c r="U23" s="5">
        <s:f>U22+T23</s:f>
        <s:v>12205.217423869062</s:v>
      </s:c>
      <s:c r="V23" s="5">
        <s:f>F23*Assumptions!$B$9*Assumptions!$B$21</s:f>
        <s:v>19780.05086215345</s:v>
      </s:c>
      <s:c r="W23" s="5">
        <s:f>V23*12</s:f>
        <s:v>237360.61034584139</s:v>
      </s:c>
    </s:row>
    <s:row r="24">
      <s:c r="A24" s="2" t="n">
        <s:v>23</s:v>
      </s:c>
      <s:c r="B24" s="4">
        <s:f>INT((A24-1)/12)+1</s:f>
        <s:v>2</s:v>
      </s:c>
      <s:c r="C24" s="5">
        <s:f>F23</s:f>
        <s:v>173.73782048443962</s:v>
      </s:c>
      <s:c r="D24" s="5">
        <s:f>C24*Assumptions!$B$20</s:f>
        <s:v>6.080823716955387</s:v>
      </s:c>
      <s:c r="E24" s="5">
        <s:f>Acquisition!B24*Assumptions!$B$19</s:f>
        <s:v>15.0</s:v>
      </s:c>
      <s:c r="F24" s="5">
        <s:f>C24-D24+E24</s:f>
        <s:v>182.65699676748423</s:v>
      </s:c>
      <s:c r="G24" s="5">
        <s:f>C24-D24+E24/2</s:f>
        <s:v>175.15699676748423</s:v>
      </s:c>
      <s:c r="H24" s="5">
        <s:f>G24*Assumptions!$B$9*Assumptions!$B$21</s:f>
        <s:v>19941.62408197808</s:v>
      </s:c>
      <s:c r="I24" s="5">
        <s:f>H24*Assumptions!$B$11</s:f>
        <s:v>199.4162408197808</s:v>
      </s:c>
      <s:c r="J24" s="5">
        <s:f>H24-I24</s:f>
        <s:v>19742.2078411583</s:v>
      </s:c>
      <s:c r="K24" s="5">
        <s:f>H24*Assumptions!$B$12+G24*Assumptions!$B$13</s:f>
        <s:v>770.4455659814561</s:v>
      </s:c>
      <s:c r="L24" s="5">
        <s:f>G24*(Assumptions!$B$14+Assumptions!$B$15)</s:f>
        <s:v>2627.3549515122636</s:v>
      </s:c>
      <s:c r="M24" s="5">
        <s:f>E24*Assumptions!$B$16</s:f>
        <s:v>900.0</s:v>
      </s:c>
      <s:c r="N24" s="5">
        <s:f>SUM(K24:M24)</s:f>
        <s:v>4297.80051749372</s:v>
      </s:c>
      <s:c r="O24" s="5">
        <s:f>J24-N24</s:f>
        <s:v>15444.407323664578</s:v>
      </s:c>
      <s:c r="P24" s="5">
        <s:f>INDEX(Assumptions!$B$30:$D$30,1,B24)</s:f>
        <s:v>15500.0</s:v>
      </s:c>
      <s:c r="Q24" s="5">
        <s:f>Acquisition!C24</s:f>
        <s:v>0</s:v>
      </s:c>
      <s:c r="R24" s="5">
        <s:f>O24-P24-Q24</s:f>
        <s:v>-55.59267633542186</s:v>
      </s:c>
      <s:c r="S24" s="5">
        <s:f>0</s:f>
        <s:v>0</s:v>
      </s:c>
      <s:c r="T24" s="5">
        <s:f>R24-S24</s:f>
        <s:v>-55.59267633542186</s:v>
      </s:c>
      <s:c r="U24" s="5">
        <s:f>U23+T24</s:f>
        <s:v>12149.62474753364</s:v>
      </s:c>
      <s:c r="V24" s="5">
        <s:f>F24*Assumptions!$B$9*Assumptions!$B$21</s:f>
        <s:v>20795.49908197808</s:v>
      </s:c>
      <s:c r="W24" s="5">
        <s:f>V24*12</s:f>
        <s:v>249545.98898373696</s:v>
      </s:c>
    </s:row>
    <s:row r="25">
      <s:c r="A25" s="2" t="n">
        <s:v>24</s:v>
      </s:c>
      <s:c r="B25" s="4">
        <s:f>INT((A25-1)/12)+1</s:f>
        <s:v>2</s:v>
      </s:c>
      <s:c r="C25" s="5">
        <s:f>F24</s:f>
        <s:v>182.65699676748423</s:v>
      </s:c>
      <s:c r="D25" s="5">
        <s:f>C25*Assumptions!$B$20</s:f>
        <s:v>6.392994886861949</s:v>
      </s:c>
      <s:c r="E25" s="5">
        <s:f>Acquisition!B25*Assumptions!$B$19</s:f>
        <s:v>15.0</s:v>
      </s:c>
      <s:c r="F25" s="5">
        <s:f>C25-D25+E25</s:f>
        <s:v>191.2640018806223</s:v>
      </s:c>
      <s:c r="G25" s="5">
        <s:f>C25-D25+E25/2</s:f>
        <s:v>183.7640018806223</s:v>
      </s:c>
      <s:c r="H25" s="5">
        <s:f>G25*Assumptions!$B$9*Assumptions!$B$21</s:f>
        <s:v>20921.531614108848</s:v>
      </s:c>
      <s:c r="I25" s="5">
        <s:f>H25*Assumptions!$B$11</s:f>
        <s:v>209.2153161410885</s:v>
      </s:c>
      <s:c r="J25" s="5">
        <s:f>H25-I25</s:f>
        <s:v>20712.316297967758</s:v>
      </s:c>
      <s:c r="K25" s="5">
        <s:f>H25*Assumptions!$B$12+G25*Assumptions!$B$13</s:f>
        <s:v>808.3043386721051</s:v>
      </s:c>
      <s:c r="L25" s="5">
        <s:f>G25*(Assumptions!$B$14+Assumptions!$B$15)</s:f>
        <s:v>2756.4600282093343</s:v>
      </s:c>
      <s:c r="M25" s="5">
        <s:f>E25*Assumptions!$B$16</s:f>
        <s:v>900.0</s:v>
      </s:c>
      <s:c r="N25" s="5">
        <s:f>SUM(K25:M25)</s:f>
        <s:v>4464.76436688144</s:v>
      </s:c>
      <s:c r="O25" s="5">
        <s:f>J25-N25</s:f>
        <s:v>16247.551931086318</s:v>
      </s:c>
      <s:c r="P25" s="5">
        <s:f>INDEX(Assumptions!$B$30:$D$30,1,B25)</s:f>
        <s:v>15500.0</s:v>
      </s:c>
      <s:c r="Q25" s="5">
        <s:f>Acquisition!C25</s:f>
        <s:v>0</s:v>
      </s:c>
      <s:c r="R25" s="5">
        <s:f>O25-P25-Q25</s:f>
        <s:v>747.5519310863183</s:v>
      </s:c>
      <s:c r="S25" s="5">
        <s:f>MAX(SUM(R14:R25),0)*Assumptions!$B$17</s:f>
        <s:v>0.0</s:v>
      </s:c>
      <s:c r="T25" s="5">
        <s:f>R25-S25</s:f>
        <s:v>747.5519310863183</s:v>
      </s:c>
      <s:c r="U25" s="5">
        <s:f>U24+T25</s:f>
        <s:v>12897.176678619959</s:v>
      </s:c>
      <s:c r="V25" s="5">
        <s:f>F25*Assumptions!$B$9*Assumptions!$B$21</s:f>
        <s:v>21775.406614108848</s:v>
      </s:c>
      <s:c r="W25" s="5">
        <s:f>V25*12</s:f>
        <s:v>261304.87936930617</s:v>
      </s:c>
    </s:row>
    <s:row r="26">
      <s:c r="A26" s="2" t="n">
        <s:v>25</s:v>
      </s:c>
      <s:c r="B26" s="4">
        <s:f>INT((A26-1)/12)+1</s:f>
        <s:v>3</s:v>
      </s:c>
      <s:c r="C26" s="5">
        <s:f>F25</s:f>
        <s:v>191.2640018806223</s:v>
      </s:c>
      <s:c r="D26" s="5">
        <s:f>C26*Assumptions!$B$20</s:f>
        <s:v>6.694240065821781</s:v>
      </s:c>
      <s:c r="E26" s="5">
        <s:f>Acquisition!B26*Assumptions!$B$19</s:f>
        <s:v>24.0</s:v>
      </s:c>
      <s:c r="F26" s="5">
        <s:f>C26-D26+E26</s:f>
        <s:v>208.5697618148005</s:v>
      </s:c>
      <s:c r="G26" s="5">
        <s:f>C26-D26+E26/2</s:f>
        <s:v>196.5697618148005</s:v>
      </s:c>
      <s:c r="H26" s="5">
        <s:f>G26*Assumptions!$B$9*Assumptions!$B$21</s:f>
        <s:v>22379.46738261504</s:v>
      </s:c>
      <s:c r="I26" s="5">
        <s:f>H26*Assumptions!$B$11</s:f>
        <s:v>223.7946738261504</s:v>
      </s:c>
      <s:c r="J26" s="5">
        <s:f>H26-I26</s:f>
        <s:v>22155.67270878889</s:v>
      </s:c>
      <s:c r="K26" s="5">
        <s:f>H26*Assumptions!$B$12+G26*Assumptions!$B$13</s:f>
        <s:v>864.6317543185816</s:v>
      </s:c>
      <s:c r="L26" s="5">
        <s:f>G26*(Assumptions!$B$14+Assumptions!$B$15)</s:f>
        <s:v>2948.5464272220074</s:v>
      </s:c>
      <s:c r="M26" s="5">
        <s:f>E26*Assumptions!$B$16</s:f>
        <s:v>1440.0</s:v>
      </s:c>
      <s:c r="N26" s="5">
        <s:f>SUM(K26:M26)</s:f>
        <s:v>5253.178181540589</s:v>
      </s:c>
      <s:c r="O26" s="5">
        <s:f>J26-N26</s:f>
        <s:v>16902.494527248302</s:v>
      </s:c>
      <s:c r="P26" s="5">
        <s:f>INDEX(Assumptions!$B$30:$D$30,1,B26)</s:f>
        <s:v>22000.0</s:v>
      </s:c>
      <s:c r="Q26" s="5">
        <s:f>Acquisition!C26</s:f>
        <s:v>0</s:v>
      </s:c>
      <s:c r="R26" s="5">
        <s:f>O26-P26-Q26</s:f>
        <s:v>-5097.505472751698</s:v>
      </s:c>
      <s:c r="S26" s="5">
        <s:f>0</s:f>
        <s:v>0</s:v>
      </s:c>
      <s:c r="T26" s="5">
        <s:f>R26-S26</s:f>
        <s:v>-5097.505472751698</s:v>
      </s:c>
      <s:c r="U26" s="5">
        <s:f>U25+T26</s:f>
        <s:v>7799.671205868261</s:v>
      </s:c>
      <s:c r="V26" s="5">
        <s:f>F26*Assumptions!$B$9*Assumptions!$B$21</s:f>
        <s:v>23745.66738261504</s:v>
      </s:c>
      <s:c r="W26" s="5">
        <s:f>V26*12</s:f>
        <s:v>284948.0085913805</s:v>
      </s:c>
    </s:row>
    <s:row r="27">
      <s:c r="A27" s="2" t="n">
        <s:v>26</s:v>
      </s:c>
      <s:c r="B27" s="4">
        <s:f>INT((A27-1)/12)+1</s:f>
        <s:v>3</s:v>
      </s:c>
      <s:c r="C27" s="5">
        <s:f>F26</s:f>
        <s:v>208.5697618148005</s:v>
      </s:c>
      <s:c r="D27" s="5">
        <s:f>C27*Assumptions!$B$20</s:f>
        <s:v>7.299941663518018</s:v>
      </s:c>
      <s:c r="E27" s="5">
        <s:f>Acquisition!B27*Assumptions!$B$19</s:f>
        <s:v>24.0</s:v>
      </s:c>
      <s:c r="F27" s="5">
        <s:f>C27-D27+E27</s:f>
        <s:v>225.2698201512825</s:v>
      </s:c>
      <s:c r="G27" s="5">
        <s:f>C27-D27+E27/2</s:f>
        <s:v>213.2698201512825</s:v>
      </s:c>
      <s:c r="H27" s="5">
        <s:f>G27*Assumptions!$B$9*Assumptions!$B$21</s:f>
        <s:v>24280.76902422351</s:v>
      </s:c>
      <s:c r="I27" s="5">
        <s:f>H27*Assumptions!$B$11</s:f>
        <s:v>242.8076902422351</s:v>
      </s:c>
      <s:c r="J27" s="5">
        <s:f>H27-I27</s:f>
        <s:v>24037.961333981275</s:v>
      </s:c>
      <s:c r="K27" s="5">
        <s:f>H27*Assumptions!$B$12+G27*Assumptions!$B$13</s:f>
        <s:v>938.088630917431</s:v>
      </s:c>
      <s:c r="L27" s="5">
        <s:f>G27*(Assumptions!$B$14+Assumptions!$B$15)</s:f>
        <s:v>3199.047302269237</s:v>
      </s:c>
      <s:c r="M27" s="5">
        <s:f>E27*Assumptions!$B$16</s:f>
        <s:v>1440.0</s:v>
      </s:c>
      <s:c r="N27" s="5">
        <s:f>SUM(K27:M27)</s:f>
        <s:v>5577.135933186668</s:v>
      </s:c>
      <s:c r="O27" s="5">
        <s:f>J27-N27</s:f>
        <s:v>18460.82540079461</s:v>
      </s:c>
      <s:c r="P27" s="5">
        <s:f>INDEX(Assumptions!$B$30:$D$30,1,B27)</s:f>
        <s:v>22000.0</s:v>
      </s:c>
      <s:c r="Q27" s="5">
        <s:f>Acquisition!C27</s:f>
        <s:v>0</s:v>
      </s:c>
      <s:c r="R27" s="5">
        <s:f>O27-P27-Q27</s:f>
        <s:v>-3539.174599205391</s:v>
      </s:c>
      <s:c r="S27" s="5">
        <s:f>0</s:f>
        <s:v>0</s:v>
      </s:c>
      <s:c r="T27" s="5">
        <s:f>R27-S27</s:f>
        <s:v>-3539.174599205391</s:v>
      </s:c>
      <s:c r="U27" s="5">
        <s:f>U26+T27</s:f>
        <s:v>4260.496606662869</s:v>
      </s:c>
      <s:c r="V27" s="5">
        <s:f>F27*Assumptions!$B$9*Assumptions!$B$21</s:f>
        <s:v>25646.969024223512</s:v>
      </s:c>
      <s:c r="W27" s="5">
        <s:f>V27*12</s:f>
        <s:v>307763.62829068216</s:v>
      </s:c>
    </s:row>
    <s:row r="28">
      <s:c r="A28" s="2" t="n">
        <s:v>27</s:v>
      </s:c>
      <s:c r="B28" s="4">
        <s:f>INT((A28-1)/12)+1</s:f>
        <s:v>3</s:v>
      </s:c>
      <s:c r="C28" s="5">
        <s:f>F27</s:f>
        <s:v>225.2698201512825</s:v>
      </s:c>
      <s:c r="D28" s="5">
        <s:f>C28*Assumptions!$B$20</s:f>
        <s:v>7.8844437052948875</s:v>
      </s:c>
      <s:c r="E28" s="5">
        <s:f>Acquisition!B28*Assumptions!$B$19</s:f>
        <s:v>24.0</s:v>
      </s:c>
      <s:c r="F28" s="5">
        <s:f>C28-D28+E28</s:f>
        <s:v>241.3853764459876</s:v>
      </s:c>
      <s:c r="G28" s="5">
        <s:f>C28-D28+E28/2</s:f>
        <s:v>229.3853764459876</s:v>
      </s:c>
      <s:c r="H28" s="5">
        <s:f>G28*Assumptions!$B$9*Assumptions!$B$21</s:f>
        <s:v>26115.52510837569</s:v>
      </s:c>
      <s:c r="I28" s="5">
        <s:f>H28*Assumptions!$B$11</s:f>
        <s:v>261.15525108375687</s:v>
      </s:c>
      <s:c r="J28" s="5">
        <s:f>H28-I28</s:f>
        <s:v>25854.36985729193</s:v>
      </s:c>
      <s:c r="K28" s="5">
        <s:f>H28*Assumptions!$B$12+G28*Assumptions!$B$13</s:f>
        <s:v>1008.974516835321</s:v>
      </s:c>
      <s:c r="L28" s="5">
        <s:f>G28*(Assumptions!$B$14+Assumptions!$B$15)</s:f>
        <s:v>3440.7806466898137</s:v>
      </s:c>
      <s:c r="M28" s="5">
        <s:f>E28*Assumptions!$B$16</s:f>
        <s:v>1440.0</s:v>
      </s:c>
      <s:c r="N28" s="5">
        <s:f>SUM(K28:M28)</s:f>
        <s:v>5889.755163525135</s:v>
      </s:c>
      <s:c r="O28" s="5">
        <s:f>J28-N28</s:f>
        <s:v>19964.614693766795</s:v>
      </s:c>
      <s:c r="P28" s="5">
        <s:f>INDEX(Assumptions!$B$30:$D$30,1,B28)</s:f>
        <s:v>22000.0</s:v>
      </s:c>
      <s:c r="Q28" s="5">
        <s:f>Acquisition!C28</s:f>
        <s:v>0</s:v>
      </s:c>
      <s:c r="R28" s="5">
        <s:f>O28-P28-Q28</s:f>
        <s:v>-2035.3853062332055</s:v>
      </s:c>
      <s:c r="S28" s="5">
        <s:f>0</s:f>
        <s:v>0</s:v>
      </s:c>
      <s:c r="T28" s="5">
        <s:f>R28-S28</s:f>
        <s:v>-2035.3853062332055</s:v>
      </s:c>
      <s:c r="U28" s="5">
        <s:f>U27+T28</s:f>
        <s:v>2225.111300429664</s:v>
      </s:c>
      <s:c r="V28" s="5">
        <s:f>F28*Assumptions!$B$9*Assumptions!$B$21</s:f>
        <s:v>27481.725108375686</s:v>
      </s:c>
      <s:c r="W28" s="5">
        <s:f>V28*12</s:f>
        <s:v>329780.7013005082</s:v>
      </s:c>
    </s:row>
    <s:row r="29">
      <s:c r="A29" s="2" t="n">
        <s:v>28</s:v>
      </s:c>
      <s:c r="B29" s="4">
        <s:f>INT((A29-1)/12)+1</s:f>
        <s:v>3</s:v>
      </s:c>
      <s:c r="C29" s="5">
        <s:f>F28</s:f>
        <s:v>241.3853764459876</s:v>
      </s:c>
      <s:c r="D29" s="5">
        <s:f>C29*Assumptions!$B$20</s:f>
        <s:v>8.448488175609567</s:v>
      </s:c>
      <s:c r="E29" s="5">
        <s:f>Acquisition!B29*Assumptions!$B$19</s:f>
        <s:v>24.0</s:v>
      </s:c>
      <s:c r="F29" s="5">
        <s:f>C29-D29+E29</s:f>
        <s:v>256.93688827037806</s:v>
      </s:c>
      <s:c r="G29" s="5">
        <s:f>C29-D29+E29/2</s:f>
        <s:v>244.93688827037803</s:v>
      </s:c>
      <s:c r="H29" s="5">
        <s:f>G29*Assumptions!$B$9*Assumptions!$B$21</s:f>
        <s:v>27886.06472958254</s:v>
      </s:c>
      <s:c r="I29" s="5">
        <s:f>H29*Assumptions!$B$11</s:f>
        <s:v>278.8606472958254</s:v>
      </s:c>
      <s:c r="J29" s="5">
        <s:f>H29-I29</s:f>
        <s:v>27607.204082286713</s:v>
      </s:c>
      <s:c r="K29" s="5">
        <s:f>H29*Assumptions!$B$12+G29*Assumptions!$B$13</s:f>
        <s:v>1077.3793967460847</s:v>
      </s:c>
      <s:c r="L29" s="5">
        <s:f>G29*(Assumptions!$B$14+Assumptions!$B$15)</s:f>
        <s:v>3674.0533240556706</s:v>
      </s:c>
      <s:c r="M29" s="5">
        <s:f>E29*Assumptions!$B$16</s:f>
        <s:v>1440.0</s:v>
      </s:c>
      <s:c r="N29" s="5">
        <s:f>SUM(K29:M29)</s:f>
        <s:v>6191.432720801755</s:v>
      </s:c>
      <s:c r="O29" s="5">
        <s:f>J29-N29</s:f>
        <s:v>21415.771361484956</s:v>
      </s:c>
      <s:c r="P29" s="5">
        <s:f>INDEX(Assumptions!$B$30:$D$30,1,B29)</s:f>
        <s:v>22000.0</s:v>
      </s:c>
      <s:c r="Q29" s="5">
        <s:f>Acquisition!C29</s:f>
        <s:v>0</s:v>
      </s:c>
      <s:c r="R29" s="5">
        <s:f>O29-P29-Q29</s:f>
        <s:v>-584.2286385150437</s:v>
      </s:c>
      <s:c r="S29" s="5">
        <s:f>0</s:f>
        <s:v>0</s:v>
      </s:c>
      <s:c r="T29" s="5">
        <s:f>R29-S29</s:f>
        <s:v>-584.2286385150437</s:v>
      </s:c>
      <s:c r="U29" s="5">
        <s:f>U28+T29</s:f>
        <s:v>1640.8826619146203</s:v>
      </s:c>
      <s:c r="V29" s="5">
        <s:f>F29*Assumptions!$B$9*Assumptions!$B$21</s:f>
        <s:v>29252.26472958254</s:v>
      </s:c>
      <s:c r="W29" s="5">
        <s:f>V29*12</s:f>
        <s:v>351027.1767549905</s:v>
      </s:c>
    </s:row>
    <s:row r="30">
      <s:c r="A30" s="2" t="n">
        <s:v>29</s:v>
      </s:c>
      <s:c r="B30" s="4">
        <s:f>INT((A30-1)/12)+1</s:f>
        <s:v>3</s:v>
      </s:c>
      <s:c r="C30" s="5">
        <s:f>F29</s:f>
        <s:v>256.93688827037806</s:v>
      </s:c>
      <s:c r="D30" s="5">
        <s:f>C30*Assumptions!$B$20</s:f>
        <s:v>8.992791089463234</s:v>
      </s:c>
      <s:c r="E30" s="5">
        <s:f>Acquisition!B30*Assumptions!$B$19</s:f>
        <s:v>24.0</s:v>
      </s:c>
      <s:c r="F30" s="5">
        <s:f>C30-D30+E30</s:f>
        <s:v>271.9440971809148</s:v>
      </s:c>
      <s:c r="G30" s="5">
        <s:f>C30-D30+E30/2</s:f>
        <s:v>259.9440971809148</s:v>
      </s:c>
      <s:c r="H30" s="5">
        <s:f>G30*Assumptions!$B$9*Assumptions!$B$21</s:f>
        <s:v>29594.635464047155</s:v>
      </s:c>
      <s:c r="I30" s="5">
        <s:f>H30*Assumptions!$B$11</s:f>
        <s:v>295.94635464047155</s:v>
      </s:c>
      <s:c r="J30" s="5">
        <s:f>H30-I30</s:f>
        <s:v>29298.68910940668</s:v>
      </s:c>
      <s:c r="K30" s="5">
        <s:f>H30*Assumptions!$B$12+G30*Assumptions!$B$13</s:f>
        <s:v>1143.3901058599718</s:v>
      </s:c>
      <s:c r="L30" s="5">
        <s:f>G30*(Assumptions!$B$14+Assumptions!$B$15)</s:f>
        <s:v>3899.161457713722</s:v>
      </s:c>
      <s:c r="M30" s="5">
        <s:f>E30*Assumptions!$B$16</s:f>
        <s:v>1440.0</s:v>
      </s:c>
      <s:c r="N30" s="5">
        <s:f>SUM(K30:M30)</s:f>
        <s:v>6482.551563573694</s:v>
      </s:c>
      <s:c r="O30" s="5">
        <s:f>J30-N30</s:f>
        <s:v>22816.137545832986</s:v>
      </s:c>
      <s:c r="P30" s="5">
        <s:f>INDEX(Assumptions!$B$30:$D$30,1,B30)</s:f>
        <s:v>22000.0</s:v>
      </s:c>
      <s:c r="Q30" s="5">
        <s:f>Acquisition!C30</s:f>
        <s:v>0</s:v>
      </s:c>
      <s:c r="R30" s="5">
        <s:f>O30-P30-Q30</s:f>
        <s:v>816.1375458329858</s:v>
      </s:c>
      <s:c r="S30" s="5">
        <s:f>0</s:f>
        <s:v>0</s:v>
      </s:c>
      <s:c r="T30" s="5">
        <s:f>R30-S30</s:f>
        <s:v>816.1375458329858</s:v>
      </s:c>
      <s:c r="U30" s="5">
        <s:f>U29+T30</s:f>
        <s:v>2457.020207747606</s:v>
      </s:c>
      <s:c r="V30" s="5">
        <s:f>F30*Assumptions!$B$9*Assumptions!$B$21</s:f>
        <s:v>30960.83546404715</s:v>
      </s:c>
      <s:c r="W30" s="5">
        <s:f>V30*12</s:f>
        <s:v>371530.0255685658</s:v>
      </s:c>
    </s:row>
    <s:row r="31">
      <s:c r="A31" s="2" t="n">
        <s:v>30</s:v>
      </s:c>
      <s:c r="B31" s="4">
        <s:f>INT((A31-1)/12)+1</s:f>
        <s:v>3</s:v>
      </s:c>
      <s:c r="C31" s="5">
        <s:f>F30</s:f>
        <s:v>271.9440971809148</s:v>
      </s:c>
      <s:c r="D31" s="5">
        <s:f>C31*Assumptions!$B$20</s:f>
        <s:v>9.518043401332019</s:v>
      </s:c>
      <s:c r="E31" s="5">
        <s:f>Acquisition!B31*Assumptions!$B$19</s:f>
        <s:v>24.0</s:v>
      </s:c>
      <s:c r="F31" s="5">
        <s:f>C31-D31+E31</s:f>
        <s:v>286.4260537795828</s:v>
      </s:c>
      <s:c r="G31" s="5">
        <s:f>C31-D31+E31/2</s:f>
        <s:v>274.4260537795828</s:v>
      </s:c>
      <s:c r="H31" s="5">
        <s:f>G31*Assumptions!$B$9*Assumptions!$B$21</s:f>
        <s:v>31243.4062228055</s:v>
      </s:c>
      <s:c r="I31" s="5">
        <s:f>H31*Assumptions!$B$11</s:f>
        <s:v>312.43406222805504</s:v>
      </s:c>
      <s:c r="J31" s="5">
        <s:f>H31-I31</s:f>
        <s:v>30930.972160577447</s:v>
      </s:c>
      <s:c r="K31" s="5">
        <s:f>H31*Assumptions!$B$12+G31*Assumptions!$B$13</s:f>
        <s:v>1207.0904401548728</s:v>
      </s:c>
      <s:c r="L31" s="5">
        <s:f>G31*(Assumptions!$B$14+Assumptions!$B$15)</s:f>
        <s:v>4116.390806693742</s:v>
      </s:c>
      <s:c r="M31" s="5">
        <s:f>E31*Assumptions!$B$16</s:f>
        <s:v>1440.0</s:v>
      </s:c>
      <s:c r="N31" s="5">
        <s:f>SUM(K31:M31)</s:f>
        <s:v>6763.481246848614</s:v>
      </s:c>
      <s:c r="O31" s="5">
        <s:f>J31-N31</s:f>
        <s:v>24167.490913728834</s:v>
      </s:c>
      <s:c r="P31" s="5">
        <s:f>INDEX(Assumptions!$B$30:$D$30,1,B31)</s:f>
        <s:v>22000.0</s:v>
      </s:c>
      <s:c r="Q31" s="5">
        <s:f>Acquisition!C31</s:f>
        <s:v>0</s:v>
      </s:c>
      <s:c r="R31" s="5">
        <s:f>O31-P31-Q31</s:f>
        <s:v>2167.490913728834</s:v>
      </s:c>
      <s:c r="S31" s="5">
        <s:f>0</s:f>
        <s:v>0</s:v>
      </s:c>
      <s:c r="T31" s="5">
        <s:f>R31-S31</s:f>
        <s:v>2167.490913728834</s:v>
      </s:c>
      <s:c r="U31" s="5">
        <s:f>U30+T31</s:f>
        <s:v>4624.51112147644</s:v>
      </s:c>
      <s:c r="V31" s="5">
        <s:f>F31*Assumptions!$B$9*Assumptions!$B$21</s:f>
        <s:v>32609.6062228055</s:v>
      </s:c>
      <s:c r="W31" s="5">
        <s:f>V31*12</s:f>
        <s:v>391315.274673666</s:v>
      </s:c>
    </s:row>
    <s:row r="32">
      <s:c r="A32" s="2" t="n">
        <s:v>31</s:v>
      </s:c>
      <s:c r="B32" s="4">
        <s:f>INT((A32-1)/12)+1</s:f>
        <s:v>3</s:v>
      </s:c>
      <s:c r="C32" s="5">
        <s:f>F31</s:f>
        <s:v>286.4260537795828</s:v>
      </s:c>
      <s:c r="D32" s="5">
        <s:f>C32*Assumptions!$B$20</s:f>
        <s:v>10.024911882285398</s:v>
      </s:c>
      <s:c r="E32" s="5">
        <s:f>Acquisition!B32*Assumptions!$B$19</s:f>
        <s:v>24.0</s:v>
      </s:c>
      <s:c r="F32" s="5">
        <s:f>C32-D32+E32</s:f>
        <s:v>300.4011418972974</s:v>
      </s:c>
      <s:c r="G32" s="5">
        <s:f>C32-D32+E32/2</s:f>
        <s:v>288.4011418972974</s:v>
      </s:c>
      <s:c r="H32" s="5">
        <s:f>G32*Assumptions!$B$9*Assumptions!$B$21</s:f>
        <s:v>32834.470005007315</s:v>
      </s:c>
      <s:c r="I32" s="5">
        <s:f>H32*Assumptions!$B$11</s:f>
        <s:v>328.3447000500732</s:v>
      </s:c>
      <s:c r="J32" s="5">
        <s:f>H32-I32</s:f>
        <s:v>32506.12530495724</s:v>
      </s:c>
      <s:c r="K32" s="5">
        <s:f>H32*Assumptions!$B$12+G32*Assumptions!$B$13</s:f>
        <s:v>1268.5612627494527</s:v>
      </s:c>
      <s:c r="L32" s="5">
        <s:f>G32*(Assumptions!$B$14+Assumptions!$B$15)</s:f>
        <s:v>4326.017128459461</s:v>
      </s:c>
      <s:c r="M32" s="5">
        <s:f>E32*Assumptions!$B$16</s:f>
        <s:v>1440.0</s:v>
      </s:c>
      <s:c r="N32" s="5">
        <s:f>SUM(K32:M32)</s:f>
        <s:v>7034.578391208914</s:v>
      </s:c>
      <s:c r="O32" s="5">
        <s:f>J32-N32</s:f>
        <s:v>25471.546913748327</s:v>
      </s:c>
      <s:c r="P32" s="5">
        <s:f>INDEX(Assumptions!$B$30:$D$30,1,B32)</s:f>
        <s:v>22000.0</s:v>
      </s:c>
      <s:c r="Q32" s="5">
        <s:f>Acquisition!C32</s:f>
        <s:v>0</s:v>
      </s:c>
      <s:c r="R32" s="5">
        <s:f>O32-P32-Q32</s:f>
        <s:v>3471.546913748327</s:v>
      </s:c>
      <s:c r="S32" s="5">
        <s:f>0</s:f>
        <s:v>0</s:v>
      </s:c>
      <s:c r="T32" s="5">
        <s:f>R32-S32</s:f>
        <s:v>3471.546913748327</s:v>
      </s:c>
      <s:c r="U32" s="5">
        <s:f>U31+T32</s:f>
        <s:v>8096.058035224767</s:v>
      </s:c>
      <s:c r="V32" s="5">
        <s:f>F32*Assumptions!$B$9*Assumptions!$B$21</s:f>
        <s:v>34200.67000500731</s:v>
      </s:c>
      <s:c r="W32" s="5">
        <s:f>V32*12</s:f>
        <s:v>410408.04006008775</s:v>
      </s:c>
    </s:row>
    <s:row r="33">
      <s:c r="A33" s="2" t="n">
        <s:v>32</s:v>
      </s:c>
      <s:c r="B33" s="4">
        <s:f>INT((A33-1)/12)+1</s:f>
        <s:v>3</s:v>
      </s:c>
      <s:c r="C33" s="5">
        <s:f>F32</s:f>
        <s:v>300.4011418972974</s:v>
      </s:c>
      <s:c r="D33" s="5">
        <s:f>C33*Assumptions!$B$20</s:f>
        <s:v>10.51403996640541</s:v>
      </s:c>
      <s:c r="E33" s="5">
        <s:f>Acquisition!B33*Assumptions!$B$19</s:f>
        <s:v>24.0</s:v>
      </s:c>
      <s:c r="F33" s="5">
        <s:f>C33-D33+E33</s:f>
        <s:v>313.887101930892</s:v>
      </s:c>
      <s:c r="G33" s="5">
        <s:f>C33-D33+E33/2</s:f>
        <s:v>301.887101930892</s:v>
      </s:c>
      <s:c r="H33" s="5">
        <s:f>G33*Assumptions!$B$9*Assumptions!$B$21</s:f>
        <s:v>34369.84655483206</s:v>
      </s:c>
      <s:c r="I33" s="5">
        <s:f>H33*Assumptions!$B$11</s:f>
        <s:v>343.6984655483206</s:v>
      </s:c>
      <s:c r="J33" s="5">
        <s:f>H33-I33</s:f>
        <s:v>34026.14808928374</s:v>
      </s:c>
      <s:c r="K33" s="5">
        <s:f>H33*Assumptions!$B$12+G33*Assumptions!$B$13</s:f>
        <s:v>1327.8806065532217</s:v>
      </s:c>
      <s:c r="L33" s="5">
        <s:f>G33*(Assumptions!$B$14+Assumptions!$B$15)</s:f>
        <s:v>4528.3065289633805</s:v>
      </s:c>
      <s:c r="M33" s="5">
        <s:f>E33*Assumptions!$B$16</s:f>
        <s:v>1440.0</s:v>
      </s:c>
      <s:c r="N33" s="5">
        <s:f>SUM(K33:M33)</s:f>
        <s:v>7296.187135516602</s:v>
      </s:c>
      <s:c r="O33" s="5">
        <s:f>J33-N33</s:f>
        <s:v>26729.960953767142</s:v>
      </s:c>
      <s:c r="P33" s="5">
        <s:f>INDEX(Assumptions!$B$30:$D$30,1,B33)</s:f>
        <s:v>22000.0</s:v>
      </s:c>
      <s:c r="Q33" s="5">
        <s:f>Acquisition!C33</s:f>
        <s:v>0</s:v>
      </s:c>
      <s:c r="R33" s="5">
        <s:f>O33-P33-Q33</s:f>
        <s:v>4729.960953767142</s:v>
      </s:c>
      <s:c r="S33" s="5">
        <s:f>0</s:f>
        <s:v>0</s:v>
      </s:c>
      <s:c r="T33" s="5">
        <s:f>R33-S33</s:f>
        <s:v>4729.960953767142</s:v>
      </s:c>
      <s:c r="U33" s="5">
        <s:f>U32+T33</s:f>
        <s:v>12826.01898899191</s:v>
      </s:c>
      <s:c r="V33" s="5">
        <s:f>F33*Assumptions!$B$9*Assumptions!$B$21</s:f>
        <s:v>35736.04655483206</s:v>
      </s:c>
      <s:c r="W33" s="5">
        <s:f>V33*12</s:f>
        <s:v>428832.5586579847</s:v>
      </s:c>
    </s:row>
    <s:row r="34">
      <s:c r="A34" s="2" t="n">
        <s:v>33</s:v>
      </s:c>
      <s:c r="B34" s="4">
        <s:f>INT((A34-1)/12)+1</s:f>
        <s:v>3</s:v>
      </s:c>
      <s:c r="C34" s="5">
        <s:f>F33</s:f>
        <s:v>313.887101930892</s:v>
      </s:c>
      <s:c r="D34" s="5">
        <s:f>C34*Assumptions!$B$20</s:f>
        <s:v>10.986048567581221</s:v>
      </s:c>
      <s:c r="E34" s="5">
        <s:f>Acquisition!B34*Assumptions!$B$19</s:f>
        <s:v>24.0</s:v>
      </s:c>
      <s:c r="F34" s="5">
        <s:f>C34-D34+E34</s:f>
        <s:v>326.9010533633108</s:v>
      </s:c>
      <s:c r="G34" s="5">
        <s:f>C34-D34+E34/2</s:f>
        <s:v>314.9010533633108</s:v>
      </s:c>
      <s:c r="H34" s="5">
        <s:f>G34*Assumptions!$B$9*Assumptions!$B$21</s:f>
        <s:v>35851.48492541293</s:v>
      </s:c>
      <s:c r="I34" s="5">
        <s:f>H34*Assumptions!$B$11</s:f>
        <s:v>358.5148492541293</s:v>
      </s:c>
      <s:c r="J34" s="5">
        <s:f>H34-I34</s:f>
        <s:v>35492.9700761588</s:v>
      </s:c>
      <s:c r="K34" s="5">
        <s:f>H34*Assumptions!$B$12+G34*Assumptions!$B$13</s:f>
        <s:v>1385.1237733238586</s:v>
      </s:c>
      <s:c r="L34" s="5">
        <s:f>G34*(Assumptions!$B$14+Assumptions!$B$15)</s:f>
        <s:v>4723.515800449662</s:v>
      </s:c>
      <s:c r="M34" s="5">
        <s:f>E34*Assumptions!$B$16</s:f>
        <s:v>1440.0</s:v>
      </s:c>
      <s:c r="N34" s="5">
        <s:f>SUM(K34:M34)</s:f>
        <s:v>7548.63957377352</s:v>
      </s:c>
      <s:c r="O34" s="5">
        <s:f>J34-N34</s:f>
        <s:v>27944.33050238528</s:v>
      </s:c>
      <s:c r="P34" s="5">
        <s:f>INDEX(Assumptions!$B$30:$D$30,1,B34)</s:f>
        <s:v>22000.0</s:v>
      </s:c>
      <s:c r="Q34" s="5">
        <s:f>Acquisition!C34</s:f>
        <s:v>0</s:v>
      </s:c>
      <s:c r="R34" s="5">
        <s:f>O34-P34-Q34</s:f>
        <s:v>5944.330502385281</s:v>
      </s:c>
      <s:c r="S34" s="5">
        <s:f>0</s:f>
        <s:v>0</s:v>
      </s:c>
      <s:c r="T34" s="5">
        <s:f>R34-S34</s:f>
        <s:v>5944.330502385281</s:v>
      </s:c>
      <s:c r="U34" s="5">
        <s:f>U33+T34</s:f>
        <s:v>18770.34949137719</s:v>
      </s:c>
      <s:c r="V34" s="5">
        <s:f>F34*Assumptions!$B$9*Assumptions!$B$21</s:f>
        <s:v>37217.684925412934</s:v>
      </s:c>
      <s:c r="W34" s="5">
        <s:f>V34*12</s:f>
        <s:v>446612.2191049552</s:v>
      </s:c>
    </s:row>
    <s:row r="35">
      <s:c r="A35" s="2" t="n">
        <s:v>34</s:v>
      </s:c>
      <s:c r="B35" s="4">
        <s:f>INT((A35-1)/12)+1</s:f>
        <s:v>3</s:v>
      </s:c>
      <s:c r="C35" s="5">
        <s:f>F34</s:f>
        <s:v>326.9010533633108</s:v>
      </s:c>
      <s:c r="D35" s="5">
        <s:f>C35*Assumptions!$B$20</s:f>
        <s:v>11.441536867715879</s:v>
      </s:c>
      <s:c r="E35" s="5">
        <s:f>Acquisition!B35*Assumptions!$B$19</s:f>
        <s:v>24.0</s:v>
      </s:c>
      <s:c r="F35" s="5">
        <s:f>C35-D35+E35</s:f>
        <s:v>339.4595164955949</s:v>
      </s:c>
      <s:c r="G35" s="5">
        <s:f>C35-D35+E35/2</s:f>
        <s:v>327.4595164955949</s:v>
      </s:c>
      <s:c r="H35" s="5">
        <s:f>G35*Assumptions!$B$9*Assumptions!$B$21</s:f>
        <s:v>37281.26595302348</s:v>
      </s:c>
      <s:c r="I35" s="5">
        <s:f>H35*Assumptions!$B$11</s:f>
        <s:v>372.81265953023484</s:v>
      </s:c>
      <s:c r="J35" s="5">
        <s:f>H35-I35</s:f>
        <s:v>36908.45329349324</s:v>
      </s:c>
      <s:c r="K35" s="5">
        <s:f>H35*Assumptions!$B$12+G35*Assumptions!$B$13</s:f>
        <s:v>1440.3634292575236</s:v>
      </s:c>
      <s:c r="L35" s="5">
        <s:f>G35*(Assumptions!$B$14+Assumptions!$B$15)</s:f>
        <s:v>4911.892747433923</s:v>
      </s:c>
      <s:c r="M35" s="5">
        <s:f>E35*Assumptions!$B$16</s:f>
        <s:v>1440.0</s:v>
      </s:c>
      <s:c r="N35" s="5">
        <s:f>SUM(K35:M35)</s:f>
        <s:v>7792.256176691447</s:v>
      </s:c>
      <s:c r="O35" s="5">
        <s:f>J35-N35</s:f>
        <s:v>29116.197116801795</s:v>
      </s:c>
      <s:c r="P35" s="5">
        <s:f>INDEX(Assumptions!$B$30:$D$30,1,B35)</s:f>
        <s:v>22000.0</s:v>
      </s:c>
      <s:c r="Q35" s="5">
        <s:f>Acquisition!C35</s:f>
        <s:v>0</s:v>
      </s:c>
      <s:c r="R35" s="5">
        <s:f>O35-P35-Q35</s:f>
        <s:v>7116.197116801795</s:v>
      </s:c>
      <s:c r="S35" s="5">
        <s:f>0</s:f>
        <s:v>0</s:v>
      </s:c>
      <s:c r="T35" s="5">
        <s:f>R35-S35</s:f>
        <s:v>7116.197116801795</s:v>
      </s:c>
      <s:c r="U35" s="5">
        <s:f>U34+T35</s:f>
        <s:v>25886.546608178985</s:v>
      </s:c>
      <s:c r="V35" s="5">
        <s:f>F35*Assumptions!$B$9*Assumptions!$B$21</s:f>
        <s:v>38647.46595302348</s:v>
      </s:c>
      <s:c r="W35" s="5">
        <s:f>V35*12</s:f>
        <s:v>463769.59143628174</s:v>
      </s:c>
    </s:row>
    <s:row r="36">
      <s:c r="A36" s="2" t="n">
        <s:v>35</s:v>
      </s:c>
      <s:c r="B36" s="4">
        <s:f>INT((A36-1)/12)+1</s:f>
        <s:v>3</s:v>
      </s:c>
      <s:c r="C36" s="5">
        <s:f>F35</s:f>
        <s:v>339.4595164955949</s:v>
      </s:c>
      <s:c r="D36" s="5">
        <s:f>C36*Assumptions!$B$20</s:f>
        <s:v>11.881083077345824</s:v>
      </s:c>
      <s:c r="E36" s="5">
        <s:f>Acquisition!B36*Assumptions!$B$19</s:f>
        <s:v>24.0</s:v>
      </s:c>
      <s:c r="F36" s="5">
        <s:f>C36-D36+E36</s:f>
        <s:v>351.5784334182491</s:v>
      </s:c>
      <s:c r="G36" s="5">
        <s:f>C36-D36+E36/2</s:f>
        <s:v>339.5784334182491</s:v>
      </s:c>
      <s:c r="H36" s="5">
        <s:f>G36*Assumptions!$B$9*Assumptions!$B$21</s:f>
        <s:v>38661.004644667664</s:v>
      </s:c>
      <s:c r="I36" s="5">
        <s:f>H36*Assumptions!$B$11</s:f>
        <s:v>386.6100464466767</s:v>
      </s:c>
      <s:c r="J36" s="5">
        <s:f>H36-I36</s:f>
        <s:v>38274.394598220984</s:v>
      </s:c>
      <s:c r="K36" s="5">
        <s:f>H36*Assumptions!$B$12+G36*Assumptions!$B$13</s:f>
        <s:v>1493.6696972335105</s:v>
      </s:c>
      <s:c r="L36" s="5">
        <s:f>G36*(Assumptions!$B$14+Assumptions!$B$15)</s:f>
        <s:v>5093.676501273737</s:v>
      </s:c>
      <s:c r="M36" s="5">
        <s:f>E36*Assumptions!$B$16</s:f>
        <s:v>1440.0</s:v>
      </s:c>
      <s:c r="N36" s="5">
        <s:f>SUM(K36:M36)</s:f>
        <s:v>8027.346198507247</s:v>
      </s:c>
      <s:c r="O36" s="5">
        <s:f>J36-N36</s:f>
        <s:v>30247.048399713738</s:v>
      </s:c>
      <s:c r="P36" s="5">
        <s:f>INDEX(Assumptions!$B$30:$D$30,1,B36)</s:f>
        <s:v>22000.0</s:v>
      </s:c>
      <s:c r="Q36" s="5">
        <s:f>Acquisition!C36</s:f>
        <s:v>0</s:v>
      </s:c>
      <s:c r="R36" s="5">
        <s:f>O36-P36-Q36</s:f>
        <s:v>8247.048399713738</s:v>
      </s:c>
      <s:c r="S36" s="5">
        <s:f>0</s:f>
        <s:v>0</s:v>
      </s:c>
      <s:c r="T36" s="5">
        <s:f>R36-S36</s:f>
        <s:v>8247.048399713738</s:v>
      </s:c>
      <s:c r="U36" s="5">
        <s:f>U35+T36</s:f>
        <s:v>34133.59500789273</s:v>
      </s:c>
      <s:c r="V36" s="5">
        <s:f>F36*Assumptions!$B$9*Assumptions!$B$21</s:f>
        <s:v>40027.20464466766</s:v>
      </s:c>
      <s:c r="W36" s="5">
        <s:f>V36*12</s:f>
        <s:v>480326.45573601197</s:v>
      </s:c>
    </s:row>
    <s:row r="37">
      <s:c r="A37" s="2" t="n">
        <s:v>36</s:v>
      </s:c>
      <s:c r="B37" s="4">
        <s:f>INT((A37-1)/12)+1</s:f>
        <s:v>3</s:v>
      </s:c>
      <s:c r="C37" s="5">
        <s:f>F36</s:f>
        <s:v>351.5784334182491</s:v>
      </s:c>
      <s:c r="D37" s="5">
        <s:f>C37*Assumptions!$B$20</s:f>
        <s:v>12.30524516963872</s:v>
      </s:c>
      <s:c r="E37" s="5">
        <s:f>Acquisition!B37*Assumptions!$B$19</s:f>
        <s:v>24.0</s:v>
      </s:c>
      <s:c r="F37" s="5">
        <s:f>C37-D37+E37</s:f>
        <s:v>363.2731882486104</s:v>
      </s:c>
      <s:c r="G37" s="5">
        <s:f>C37-D37+E37/2</s:f>
        <s:v>351.2731882486104</s:v>
      </s:c>
      <s:c r="H37" s="5">
        <s:f>G37*Assumptions!$B$9*Assumptions!$B$21</s:f>
        <s:v>39992.452482104294</s:v>
      </s:c>
      <s:c r="I37" s="5">
        <s:f>H37*Assumptions!$B$11</s:f>
        <s:v>399.92452482104295</s:v>
      </s:c>
      <s:c r="J37" s="5">
        <s:f>H37-I37</s:f>
        <s:v>39592.52795728325</s:v>
      </s:c>
      <s:c r="K37" s="5">
        <s:f>H37*Assumptions!$B$12+G37*Assumptions!$B$13</s:f>
        <s:v>1545.1102458303376</s:v>
      </s:c>
      <s:c r="L37" s="5">
        <s:f>G37*(Assumptions!$B$14+Assumptions!$B$15)</s:f>
        <s:v>5269.097823729156</s:v>
      </s:c>
      <s:c r="M37" s="5">
        <s:f>E37*Assumptions!$B$16</s:f>
        <s:v>1440.0</s:v>
      </s:c>
      <s:c r="N37" s="5">
        <s:f>SUM(K37:M37)</s:f>
        <s:v>8254.208069559492</s:v>
      </s:c>
      <s:c r="O37" s="5">
        <s:f>J37-N37</s:f>
        <s:v>31338.31988772376</s:v>
      </s:c>
      <s:c r="P37" s="5">
        <s:f>INDEX(Assumptions!$B$30:$D$30,1,B37)</s:f>
        <s:v>22000.0</s:v>
      </s:c>
      <s:c r="Q37" s="5">
        <s:f>Acquisition!C37</s:f>
        <s:v>0</s:v>
      </s:c>
      <s:c r="R37" s="5">
        <s:f>O37-P37-Q37</s:f>
        <s:v>9338.31988772376</s:v>
      </s:c>
      <s:c r="S37" s="5">
        <s:f>MAX(SUM(R26:R37),0)*Assumptions!$B$17</s:f>
        <s:v>7643.684554249131</s:v>
      </s:c>
      <s:c r="T37" s="5">
        <s:f>R37-S37</s:f>
        <s:v>1694.6353334746282</s:v>
      </s:c>
      <s:c r="U37" s="5">
        <s:f>U36+T37</s:f>
        <s:v>35828.23034136736</s:v>
      </s:c>
      <s:c r="V37" s="5">
        <s:f>F37*Assumptions!$B$9*Assumptions!$B$21</s:f>
        <s:v>41358.65248210429</s:v>
      </s:c>
      <s:c r="W37" s="5">
        <s:f>V37*12</s:f>
        <s:v>496303.8297852515</s:v>
      </s:c>
    </s:row>
  </s:sheetData>
  <s:autoFilter ref="A1:W37"/>
  <s:pageMargins left="0.75" right="0.75" top="1" bottom="1" header="0.5" footer="0.5"/>
  <s:pageSetup orientation="landscape" paperSize="8" fitToHeight="0" fitToWidth="1"/>
</s:worksheet>
</file>

<file path=xl/worksheets/sheet6.xml><?xml version="1.0" encoding="utf-8"?>
<s:worksheet xmlns:s="http://schemas.openxmlformats.org/spreadsheetml/2006/main">
  <s:sheetPr>
    <s:outlinePr summaryBelow="1" summaryRight="1"/>
    <s:pageSetUpPr fitToPage="1"/>
  </s:sheetPr>
  <s:dimension ref="A1:W37"/>
  <s:sheetViews>
    <s:sheetView workbookViewId="0">
      <s:pane xSplit="1" ySplit="1" topLeftCell="B2" activePane="bottomRight" state="frozen"/>
      <s:selection pane="topRight"/>
      <s:selection pane="bottomLeft"/>
      <s:selection pane="bottomRight"/>
      <s:selection pane="bottomLeft"/>
      <s:selection pane="bottomRight" activeCell="A1" sqref="A1"/>
    </s:sheetView>
  </s:sheetViews>
  <s:sheetFormatPr baseColWidth="8" defaultRowHeight="15"/>
  <s:cols>
    <s:col width="19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  <s:col width="19" customWidth="1" min="10" max="10"/>
    <s:col width="19" customWidth="1" min="11" max="11"/>
    <s:col width="19" customWidth="1" min="12" max="12"/>
    <s:col width="19" customWidth="1" min="13" max="13"/>
    <s:col width="19" customWidth="1" min="14" max="14"/>
    <s:col width="19" customWidth="1" min="15" max="15"/>
    <s:col width="19" customWidth="1" min="16" max="16"/>
    <s:col width="19" customWidth="1" min="17" max="17"/>
    <s:col width="19" customWidth="1" min="18" max="18"/>
    <s:col width="19" customWidth="1" min="19" max="19"/>
    <s:col width="19" customWidth="1" min="20" max="20"/>
    <s:col width="19" customWidth="1" min="21" max="21"/>
    <s:col width="19" customWidth="1" min="22" max="22"/>
    <s:col width="19" customWidth="1" min="23" max="23"/>
  </s:cols>
  <s:sheetData>
    <s:row r="1" ht="32" customHeight="1">
      <s:c r="A1" s="1" t="inlineStr">
        <s:is>
          <s:t>Month</s:t>
        </s:is>
      </s:c>
      <s:c r="B1" s="1" t="inlineStr">
        <s:is>
          <s:t>Year</s:t>
        </s:is>
      </s:c>
      <s:c r="C1" s="1" t="inlineStr">
        <s:is>
          <s:t>Opening paid</s:t>
        </s:is>
      </s:c>
      <s:c r="D1" s="1" t="inlineStr">
        <s:is>
          <s:t>Churned</s:t>
        </s:is>
      </s:c>
      <s:c r="E1" s="1" t="inlineStr">
        <s:is>
          <s:t>New paid</s:t>
        </s:is>
      </s:c>
      <s:c r="F1" s="1" t="inlineStr">
        <s:is>
          <s:t>Ending paid</s:t>
        </s:is>
      </s:c>
      <s:c r="G1" s="1" t="inlineStr">
        <s:is>
          <s:t>Billed equivalent</s:t>
        </s:is>
      </s:c>
      <s:c r="H1" s="1" t="inlineStr">
        <s:is>
          <s:t>Gross charges</s:t>
        </s:is>
      </s:c>
      <s:c r="I1" s="1" t="inlineStr">
        <s:is>
          <s:t>Credits/refunds</s:t>
        </s:is>
      </s:c>
      <s:c r="J1" s="1" t="inlineStr">
        <s:is>
          <s:t>Net revenue</s:t>
        </s:is>
      </s:c>
      <s:c r="K1" s="1" t="inlineStr">
        <s:is>
          <s:t>Payment fees</s:t>
        </s:is>
      </s:c>
      <s:c r="L1" s="1" t="inlineStr">
        <s:is>
          <s:t>Service delivery</s:t>
        </s:is>
      </s:c>
      <s:c r="M1" s="1" t="inlineStr">
        <s:is>
          <s:t>Onboarding</s:t>
        </s:is>
      </s:c>
      <s:c r="N1" s="1" t="inlineStr">
        <s:is>
          <s:t>Total COGS</s:t>
        </s:is>
      </s:c>
      <s:c r="O1" s="1" t="inlineStr">
        <s:is>
          <s:t>Gross profit</s:t>
        </s:is>
      </s:c>
      <s:c r="P1" s="1" t="inlineStr">
        <s:is>
          <s:t>Fixed opex</s:t>
        </s:is>
      </s:c>
      <s:c r="Q1" s="1" t="inlineStr">
        <s:is>
          <s:t>Launch costs</s:t>
        </s:is>
      </s:c>
      <s:c r="R1" s="1" t="inlineStr">
        <s:is>
          <s:t>Operating profit</s:t>
        </s:is>
      </s:c>
      <s:c r="S1" s="1" t="inlineStr">
        <s:is>
          <s:t>Tax reserve</s:t>
        </s:is>
      </s:c>
      <s:c r="T1" s="1" t="inlineStr">
        <s:is>
          <s:t>Net income</s:t>
        </s:is>
      </s:c>
      <s:c r="U1" s="1" t="inlineStr">
        <s:is>
          <s:t>Ending cash</s:t>
        </s:is>
      </s:c>
      <s:c r="V1" s="1" t="inlineStr">
        <s:is>
          <s:t>Exit MRR</s:t>
        </s:is>
      </s:c>
      <s:c r="W1" s="1" t="inlineStr">
        <s:is>
          <s:t>Exit ARR</s:t>
        </s:is>
      </s:c>
    </s:row>
    <s:row r="2">
      <s:c r="A2" s="2" t="n">
        <s:v>1</s:v>
      </s:c>
      <s:c r="B2" s="4">
        <s:f>INT((A2-1)/12)+1</s:f>
        <s:v>1</s:v>
      </s:c>
      <s:c r="C2" s="5">
        <s:f>0</s:f>
        <s:v>0</s:v>
      </s:c>
      <s:c r="D2" s="5">
        <s:f>C2*Assumptions!$B$23</s:f>
        <s:v>0.0</s:v>
      </s:c>
      <s:c r="E2" s="5">
        <s:f>Acquisition!B2*Assumptions!$B$22</s:f>
        <s:v>0.0</s:v>
      </s:c>
      <s:c r="F2" s="5">
        <s:f>C2-D2+E2</s:f>
        <s:v>0.0</s:v>
      </s:c>
      <s:c r="G2" s="5">
        <s:f>C2-D2+E2/2</s:f>
        <s:v>0.0</s:v>
      </s:c>
      <s:c r="H2" s="5">
        <s:f>G2*Assumptions!$B$9</s:f>
        <s:v>0.0</s:v>
      </s:c>
      <s:c r="I2" s="5">
        <s:f>H2*Assumptions!$B$11</s:f>
        <s:v>0.0</s:v>
      </s:c>
      <s:c r="J2" s="5">
        <s:f>H2-I2</s:f>
        <s:v>0.0</s:v>
      </s:c>
      <s:c r="K2" s="5">
        <s:f>H2*Assumptions!$B$12+G2*Assumptions!$B$13</s:f>
        <s:v>0.0</s:v>
      </s:c>
      <s:c r="L2" s="5">
        <s:f>G2*(Assumptions!$B$14+Assumptions!$B$15)</s:f>
        <s:v>0.0</s:v>
      </s:c>
      <s:c r="M2" s="5">
        <s:f>E2*Assumptions!$B$16</s:f>
        <s:v>0.0</s:v>
      </s:c>
      <s:c r="N2" s="5">
        <s:f>SUM(K2:M2)</s:f>
        <s:v>0.0</s:v>
      </s:c>
      <s:c r="O2" s="5">
        <s:f>J2-N2</s:f>
        <s:v>0.0</s:v>
      </s:c>
      <s:c r="P2" s="5">
        <s:f>INDEX(Assumptions!$B$30:$D$30,1,B2)</s:f>
        <s:v>9500.0</s:v>
      </s:c>
      <s:c r="Q2" s="5">
        <s:f>Acquisition!C2</s:f>
        <s:v>10000</s:v>
      </s:c>
      <s:c r="R2" s="5">
        <s:f>O2-P2-Q2</s:f>
        <s:v>-19500.0</s:v>
      </s:c>
      <s:c r="S2" s="5">
        <s:f>0</s:f>
        <s:v>0</s:v>
      </s:c>
      <s:c r="T2" s="5">
        <s:f>R2-S2</s:f>
        <s:v>-19500.0</s:v>
      </s:c>
      <s:c r="U2" s="5">
        <s:f>Assumptions!$B$2+T2</s:f>
        <s:v>155500.0</s:v>
      </s:c>
      <s:c r="V2" s="5">
        <s:f>F2*Assumptions!$B$9</s:f>
        <s:v>0.0</s:v>
      </s:c>
      <s:c r="W2" s="5">
        <s:f>V2*12</s:f>
        <s:v>0.0</s:v>
      </s:c>
    </s:row>
    <s:row r="3">
      <s:c r="A3" s="2" t="n">
        <s:v>2</s:v>
      </s:c>
      <s:c r="B3" s="4">
        <s:f>INT((A3-1)/12)+1</s:f>
        <s:v>1</s:v>
      </s:c>
      <s:c r="C3" s="5">
        <s:f>F2</s:f>
        <s:v>0.0</s:v>
      </s:c>
      <s:c r="D3" s="5">
        <s:f>C3*Assumptions!$B$23</s:f>
        <s:v>0.0</s:v>
      </s:c>
      <s:c r="E3" s="5">
        <s:f>Acquisition!B3*Assumptions!$B$22</s:f>
        <s:v>0.0</s:v>
      </s:c>
      <s:c r="F3" s="5">
        <s:f>C3-D3+E3</s:f>
        <s:v>0.0</s:v>
      </s:c>
      <s:c r="G3" s="5">
        <s:f>C3-D3+E3/2</s:f>
        <s:v>0.0</s:v>
      </s:c>
      <s:c r="H3" s="5">
        <s:f>G3*Assumptions!$B$9</s:f>
        <s:v>0.0</s:v>
      </s:c>
      <s:c r="I3" s="5">
        <s:f>H3*Assumptions!$B$11</s:f>
        <s:v>0.0</s:v>
      </s:c>
      <s:c r="J3" s="5">
        <s:f>H3-I3</s:f>
        <s:v>0.0</s:v>
      </s:c>
      <s:c r="K3" s="5">
        <s:f>H3*Assumptions!$B$12+G3*Assumptions!$B$13</s:f>
        <s:v>0.0</s:v>
      </s:c>
      <s:c r="L3" s="5">
        <s:f>G3*(Assumptions!$B$14+Assumptions!$B$15)</s:f>
        <s:v>0.0</s:v>
      </s:c>
      <s:c r="M3" s="5">
        <s:f>E3*Assumptions!$B$16</s:f>
        <s:v>0.0</s:v>
      </s:c>
      <s:c r="N3" s="5">
        <s:f>SUM(K3:M3)</s:f>
        <s:v>0.0</s:v>
      </s:c>
      <s:c r="O3" s="5">
        <s:f>J3-N3</s:f>
        <s:v>0.0</s:v>
      </s:c>
      <s:c r="P3" s="5">
        <s:f>INDEX(Assumptions!$B$30:$D$30,1,B3)</s:f>
        <s:v>9500.0</s:v>
      </s:c>
      <s:c r="Q3" s="5">
        <s:f>Acquisition!C3</s:f>
        <s:v>5000</s:v>
      </s:c>
      <s:c r="R3" s="5">
        <s:f>O3-P3-Q3</s:f>
        <s:v>-14500.0</s:v>
      </s:c>
      <s:c r="S3" s="5">
        <s:f>0</s:f>
        <s:v>0</s:v>
      </s:c>
      <s:c r="T3" s="5">
        <s:f>R3-S3</s:f>
        <s:v>-14500.0</s:v>
      </s:c>
      <s:c r="U3" s="5">
        <s:f>U2+T3</s:f>
        <s:v>141000.0</s:v>
      </s:c>
      <s:c r="V3" s="5">
        <s:f>F3*Assumptions!$B$9</s:f>
        <s:v>0.0</s:v>
      </s:c>
      <s:c r="W3" s="5">
        <s:f>V3*12</s:f>
        <s:v>0.0</s:v>
      </s:c>
    </s:row>
    <s:row r="4">
      <s:c r="A4" s="2" t="n">
        <s:v>3</s:v>
      </s:c>
      <s:c r="B4" s="4">
        <s:f>INT((A4-1)/12)+1</s:f>
        <s:v>1</s:v>
      </s:c>
      <s:c r="C4" s="5">
        <s:f>F3</s:f>
        <s:v>0.0</s:v>
      </s:c>
      <s:c r="D4" s="5">
        <s:f>C4*Assumptions!$B$23</s:f>
        <s:v>0.0</s:v>
      </s:c>
      <s:c r="E4" s="5">
        <s:f>Acquisition!B4*Assumptions!$B$22</s:f>
        <s:v>4.199999999999999</s:v>
      </s:c>
      <s:c r="F4" s="5">
        <s:f>C4-D4+E4</s:f>
        <s:v>4.199999999999999</s:v>
      </s:c>
      <s:c r="G4" s="5">
        <s:f>C4-D4+E4/2</s:f>
        <s:v>2.0999999999999996</s:v>
      </s:c>
      <s:c r="H4" s="5">
        <s:f>G4*Assumptions!$B$9</s:f>
        <s:v>265.65</s:v>
      </s:c>
      <s:c r="I4" s="5">
        <s:f>H4*Assumptions!$B$11</s:f>
        <s:v>2.6565</s:v>
      </s:c>
      <s:c r="J4" s="5">
        <s:f>H4-I4</s:f>
        <s:v>262.9935</s:v>
      </s:c>
      <s:c r="K4" s="5">
        <s:f>H4*Assumptions!$B$12+G4*Assumptions!$B$13</s:f>
        <s:v>10.193399999999997</s:v>
      </s:c>
      <s:c r="L4" s="5">
        <s:f>G4*(Assumptions!$B$14+Assumptions!$B$15)</s:f>
        <s:v>31.499999999999993</s:v>
      </s:c>
      <s:c r="M4" s="5">
        <s:f>E4*Assumptions!$B$16</s:f>
        <s:v>251.99999999999994</s:v>
      </s:c>
      <s:c r="N4" s="5">
        <s:f>SUM(K4:M4)</s:f>
        <s:v>293.69339999999994</s:v>
      </s:c>
      <s:c r="O4" s="5">
        <s:f>J4-N4</s:f>
        <s:v>-30.699899999999957</s:v>
      </s:c>
      <s:c r="P4" s="5">
        <s:f>INDEX(Assumptions!$B$30:$D$30,1,B4)</s:f>
        <s:v>9500.0</s:v>
      </s:c>
      <s:c r="Q4" s="5">
        <s:f>Acquisition!C4</s:f>
        <s:v>0</s:v>
      </s:c>
      <s:c r="R4" s="5">
        <s:f>O4-P4-Q4</s:f>
        <s:v>-9530.6999</s:v>
      </s:c>
      <s:c r="S4" s="5">
        <s:f>0</s:f>
        <s:v>0</s:v>
      </s:c>
      <s:c r="T4" s="5">
        <s:f>R4-S4</s:f>
        <s:v>-9530.6999</s:v>
      </s:c>
      <s:c r="U4" s="5">
        <s:f>U3+T4</s:f>
        <s:v>131469.3001</s:v>
      </s:c>
      <s:c r="V4" s="5">
        <s:f>F4*Assumptions!$B$9</s:f>
        <s:v>531.3</s:v>
      </s:c>
      <s:c r="W4" s="5">
        <s:f>V4*12</s:f>
        <s:v>6375.599999999999</s:v>
      </s:c>
    </s:row>
    <s:row r="5">
      <s:c r="A5" s="2" t="n">
        <s:v>4</s:v>
      </s:c>
      <s:c r="B5" s="4">
        <s:f>INT((A5-1)/12)+1</s:f>
        <s:v>1</s:v>
      </s:c>
      <s:c r="C5" s="5">
        <s:f>F4</s:f>
        <s:v>4.199999999999999</s:v>
      </s:c>
      <s:c r="D5" s="5">
        <s:f>C5*Assumptions!$B$23</s:f>
        <s:v>0.06299999999999999</s:v>
      </s:c>
      <s:c r="E5" s="5">
        <s:f>Acquisition!B5*Assumptions!$B$22</s:f>
        <s:v>7.0</s:v>
      </s:c>
      <s:c r="F5" s="5">
        <s:f>C5-D5+E5</s:f>
        <s:v>11.137</s:v>
      </s:c>
      <s:c r="G5" s="5">
        <s:f>C5-D5+E5/2</s:f>
        <s:v>7.637</s:v>
      </s:c>
      <s:c r="H5" s="5">
        <s:f>G5*Assumptions!$B$9</s:f>
        <s:v>966.0804999999999</s:v>
      </s:c>
      <s:c r="I5" s="5">
        <s:f>H5*Assumptions!$B$11</s:f>
        <s:v>9.660805</s:v>
      </s:c>
      <s:c r="J5" s="5">
        <s:f>H5-I5</s:f>
        <s:v>956.4196949999999</s:v>
      </s:c>
      <s:c r="K5" s="5">
        <s:f>H5*Assumptions!$B$12+G5*Assumptions!$B$13</s:f>
        <s:v>37.06999799999999</s:v>
      </s:c>
      <s:c r="L5" s="5">
        <s:f>G5*(Assumptions!$B$14+Assumptions!$B$15)</s:f>
        <s:v>114.55499999999999</s:v>
      </s:c>
      <s:c r="M5" s="5">
        <s:f>E5*Assumptions!$B$16</s:f>
        <s:v>420.0</s:v>
      </s:c>
      <s:c r="N5" s="5">
        <s:f>SUM(K5:M5)</s:f>
        <s:v>571.624998</s:v>
      </s:c>
      <s:c r="O5" s="5">
        <s:f>J5-N5</s:f>
        <s:v>384.7946969999999</s:v>
      </s:c>
      <s:c r="P5" s="5">
        <s:f>INDEX(Assumptions!$B$30:$D$30,1,B5)</s:f>
        <s:v>9500.0</s:v>
      </s:c>
      <s:c r="Q5" s="5">
        <s:f>Acquisition!C5</s:f>
        <s:v>0</s:v>
      </s:c>
      <s:c r="R5" s="5">
        <s:f>O5-P5-Q5</s:f>
        <s:v>-9115.205303</s:v>
      </s:c>
      <s:c r="S5" s="5">
        <s:f>0</s:f>
        <s:v>0</s:v>
      </s:c>
      <s:c r="T5" s="5">
        <s:f>R5-S5</s:f>
        <s:v>-9115.205303</s:v>
      </s:c>
      <s:c r="U5" s="5">
        <s:f>U4+T5</s:f>
        <s:v>122354.094797</s:v>
      </s:c>
      <s:c r="V5" s="5">
        <s:f>F5*Assumptions!$B$9</s:f>
        <s:v>1408.8305</s:v>
      </s:c>
      <s:c r="W5" s="5">
        <s:f>V5*12</s:f>
        <s:v>16905.966</s:v>
      </s:c>
    </s:row>
    <s:row r="6">
      <s:c r="A6" s="2" t="n">
        <s:v>5</s:v>
      </s:c>
      <s:c r="B6" s="4">
        <s:f>INT((A6-1)/12)+1</s:f>
        <s:v>1</s:v>
      </s:c>
      <s:c r="C6" s="5">
        <s:f>F5</s:f>
        <s:v>11.137</s:v>
      </s:c>
      <s:c r="D6" s="5">
        <s:f>C6*Assumptions!$B$23</s:f>
        <s:v>0.167055</s:v>
      </s:c>
      <s:c r="E6" s="5">
        <s:f>Acquisition!B6*Assumptions!$B$22</s:f>
        <s:v>9.799999999999999</s:v>
      </s:c>
      <s:c r="F6" s="5">
        <s:f>C6-D6+E6</s:f>
        <s:v>20.769945</s:v>
      </s:c>
      <s:c r="G6" s="5">
        <s:f>C6-D6+E6/2</s:f>
        <s:v>15.869945000000001</s:v>
      </s:c>
      <s:c r="H6" s="5">
        <s:f>G6*Assumptions!$B$9</s:f>
        <s:v>2007.5480425</s:v>
      </s:c>
      <s:c r="I6" s="5">
        <s:f>H6*Assumptions!$B$11</s:f>
        <s:v>20.075480425000002</s:v>
      </s:c>
      <s:c r="J6" s="5">
        <s:f>H6-I6</s:f>
        <s:v>1987.472562075</s:v>
      </s:c>
      <s:c r="K6" s="5">
        <s:f>H6*Assumptions!$B$12+G6*Assumptions!$B$13</s:f>
        <s:v>77.03271303</s:v>
      </s:c>
      <s:c r="L6" s="5">
        <s:f>G6*(Assumptions!$B$14+Assumptions!$B$15)</s:f>
        <s:v>238.04917500000002</s:v>
      </s:c>
      <s:c r="M6" s="5">
        <s:f>E6*Assumptions!$B$16</s:f>
        <s:v>587.9999999999999</s:v>
      </s:c>
      <s:c r="N6" s="5">
        <s:f>SUM(K6:M6)</s:f>
        <s:v>903.0818880299998</s:v>
      </s:c>
      <s:c r="O6" s="5">
        <s:f>J6-N6</s:f>
        <s:v>1084.3906740450002</s:v>
      </s:c>
      <s:c r="P6" s="5">
        <s:f>INDEX(Assumptions!$B$30:$D$30,1,B6)</s:f>
        <s:v>9500.0</s:v>
      </s:c>
      <s:c r="Q6" s="5">
        <s:f>Acquisition!C6</s:f>
        <s:v>0</s:v>
      </s:c>
      <s:c r="R6" s="5">
        <s:f>O6-P6-Q6</s:f>
        <s:v>-8415.609325955</s:v>
      </s:c>
      <s:c r="S6" s="5">
        <s:f>0</s:f>
        <s:v>0</s:v>
      </s:c>
      <s:c r="T6" s="5">
        <s:f>R6-S6</s:f>
        <s:v>-8415.609325955</s:v>
      </s:c>
      <s:c r="U6" s="5">
        <s:f>U5+T6</s:f>
        <s:v>113938.485471045</s:v>
      </s:c>
      <s:c r="V6" s="5">
        <s:f>F6*Assumptions!$B$9</s:f>
        <s:v>2627.3980425</s:v>
      </s:c>
      <s:c r="W6" s="5">
        <s:f>V6*12</s:f>
        <s:v>31528.77651</s:v>
      </s:c>
    </s:row>
    <s:row r="7">
      <s:c r="A7" s="2" t="n">
        <s:v>6</s:v>
      </s:c>
      <s:c r="B7" s="4">
        <s:f>INT((A7-1)/12)+1</s:f>
        <s:v>1</s:v>
      </s:c>
      <s:c r="C7" s="5">
        <s:f>F6</s:f>
        <s:v>20.769945</s:v>
      </s:c>
      <s:c r="D7" s="5">
        <s:f>C7*Assumptions!$B$23</s:f>
        <s:v>0.311549175</s:v>
      </s:c>
      <s:c r="E7" s="5">
        <s:f>Acquisition!B7*Assumptions!$B$22</s:f>
        <s:v>12.6</s:v>
      </s:c>
      <s:c r="F7" s="5">
        <s:f>C7-D7+E7</s:f>
        <s:v>33.058395825</s:v>
      </s:c>
      <s:c r="G7" s="5">
        <s:f>C7-D7+E7/2</s:f>
        <s:v>26.758395825</s:v>
      </s:c>
      <s:c r="H7" s="5">
        <s:f>G7*Assumptions!$B$9</s:f>
        <s:v>3384.9370718625</s:v>
      </s:c>
      <s:c r="I7" s="5">
        <s:f>H7*Assumptions!$B$11</s:f>
        <s:v>33.849370718625</s:v>
      </s:c>
      <s:c r="J7" s="5">
        <s:f>H7-I7</s:f>
        <s:v>3351.087701143875</s:v>
      </s:c>
      <s:c r="K7" s="5">
        <s:f>H7*Assumptions!$B$12+G7*Assumptions!$B$13</s:f>
        <s:v>129.88525333455</s:v>
      </s:c>
      <s:c r="L7" s="5">
        <s:f>G7*(Assumptions!$B$14+Assumptions!$B$15)</s:f>
        <s:v>401.37593737500003</s:v>
      </s:c>
      <s:c r="M7" s="5">
        <s:f>E7*Assumptions!$B$16</s:f>
        <s:v>756.0</s:v>
      </s:c>
      <s:c r="N7" s="5">
        <s:f>SUM(K7:M7)</s:f>
        <s:v>1287.26119070955</s:v>
      </s:c>
      <s:c r="O7" s="5">
        <s:f>J7-N7</s:f>
        <s:v>2063.8265104343254</s:v>
      </s:c>
      <s:c r="P7" s="5">
        <s:f>INDEX(Assumptions!$B$30:$D$30,1,B7)</s:f>
        <s:v>9500.0</s:v>
      </s:c>
      <s:c r="Q7" s="5">
        <s:f>Acquisition!C7</s:f>
        <s:v>0</s:v>
      </s:c>
      <s:c r="R7" s="5">
        <s:f>O7-P7-Q7</s:f>
        <s:v>-7436.173489565675</s:v>
      </s:c>
      <s:c r="S7" s="5">
        <s:f>0</s:f>
        <s:v>0</s:v>
      </s:c>
      <s:c r="T7" s="5">
        <s:f>R7-S7</s:f>
        <s:v>-7436.173489565675</s:v>
      </s:c>
      <s:c r="U7" s="5">
        <s:f>U6+T7</s:f>
        <s:v>106502.31198147933</s:v>
      </s:c>
      <s:c r="V7" s="5">
        <s:f>F7*Assumptions!$B$9</s:f>
        <s:v>4181.887071862499</s:v>
      </s:c>
      <s:c r="W7" s="5">
        <s:f>V7*12</s:f>
        <s:v>50182.64486234999</s:v>
      </s:c>
    </s:row>
    <s:row r="8">
      <s:c r="A8" s="2" t="n">
        <s:v>7</s:v>
      </s:c>
      <s:c r="B8" s="4">
        <s:f>INT((A8-1)/12)+1</s:f>
        <s:v>1</s:v>
      </s:c>
      <s:c r="C8" s="5">
        <s:f>F7</s:f>
        <s:v>33.058395825</s:v>
      </s:c>
      <s:c r="D8" s="5">
        <s:f>C8*Assumptions!$B$23</s:f>
        <s:v>0.49587593737499996</s:v>
      </s:c>
      <s:c r="E8" s="5">
        <s:f>Acquisition!B8*Assumptions!$B$22</s:f>
        <s:v>15.399999999999999</s:v>
      </s:c>
      <s:c r="F8" s="5">
        <s:f>C8-D8+E8</s:f>
        <s:v>47.962519887625</s:v>
      </s:c>
      <s:c r="G8" s="5">
        <s:f>C8-D8+E8/2</s:f>
        <s:v>40.262519887625004</s:v>
      </s:c>
      <s:c r="H8" s="5">
        <s:f>G8*Assumptions!$B$9</s:f>
        <s:v>5093.208765784563</s:v>
      </s:c>
      <s:c r="I8" s="5">
        <s:f>H8*Assumptions!$B$11</s:f>
        <s:v>50.932087657845635</s:v>
      </s:c>
      <s:c r="J8" s="5">
        <s:f>H8-I8</s:f>
        <s:v>5042.276678126717</s:v>
      </s:c>
      <s:c r="K8" s="5">
        <s:f>H8*Assumptions!$B$12+G8*Assumptions!$B$13</s:f>
        <s:v>195.43427153453177</s:v>
      </s:c>
      <s:c r="L8" s="5">
        <s:f>G8*(Assumptions!$B$14+Assumptions!$B$15)</s:f>
        <s:v>603.9377983143751</s:v>
      </s:c>
      <s:c r="M8" s="5">
        <s:f>E8*Assumptions!$B$16</s:f>
        <s:v>923.9999999999999</s:v>
      </s:c>
      <s:c r="N8" s="5">
        <s:f>SUM(K8:M8)</s:f>
        <s:v>1723.3720698489067</s:v>
      </s:c>
      <s:c r="O8" s="5">
        <s:f>J8-N8</s:f>
        <s:v>3318.9046082778104</s:v>
      </s:c>
      <s:c r="P8" s="5">
        <s:f>INDEX(Assumptions!$B$30:$D$30,1,B8)</s:f>
        <s:v>9500.0</s:v>
      </s:c>
      <s:c r="Q8" s="5">
        <s:f>Acquisition!C8</s:f>
        <s:v>0</s:v>
      </s:c>
      <s:c r="R8" s="5">
        <s:f>O8-P8-Q8</s:f>
        <s:v>-6181.09539172219</s:v>
      </s:c>
      <s:c r="S8" s="5">
        <s:f>0</s:f>
        <s:v>0</s:v>
      </s:c>
      <s:c r="T8" s="5">
        <s:f>R8-S8</s:f>
        <s:v>-6181.09539172219</s:v>
      </s:c>
      <s:c r="U8" s="5">
        <s:f>U7+T8</s:f>
        <s:v>100321.21658975714</s:v>
      </s:c>
      <s:c r="V8" s="5">
        <s:f>F8*Assumptions!$B$9</s:f>
        <s:v>6067.2587657845625</s:v>
      </s:c>
      <s:c r="W8" s="5">
        <s:f>V8*12</s:f>
        <s:v>72807.10518941475</s:v>
      </s:c>
    </s:row>
    <s:row r="9">
      <s:c r="A9" s="2" t="n">
        <s:v>8</s:v>
      </s:c>
      <s:c r="B9" s="4">
        <s:f>INT((A9-1)/12)+1</s:f>
        <s:v>1</s:v>
      </s:c>
      <s:c r="C9" s="5">
        <s:f>F8</s:f>
        <s:v>47.962519887625</s:v>
      </s:c>
      <s:c r="D9" s="5">
        <s:f>C9*Assumptions!$B$23</s:f>
        <s:v>0.7194377983143749</s:v>
      </s:c>
      <s:c r="E9" s="5">
        <s:f>Acquisition!B9*Assumptions!$B$22</s:f>
        <s:v>18.2</s:v>
      </s:c>
      <s:c r="F9" s="5">
        <s:f>C9-D9+E9</s:f>
        <s:v>65.44308208931062</s:v>
      </s:c>
      <s:c r="G9" s="5">
        <s:f>C9-D9+E9/2</s:f>
        <s:v>56.34308208931063</s:v>
      </s:c>
      <s:c r="H9" s="5">
        <s:f>G9*Assumptions!$B$9</s:f>
        <s:v>7127.399884297794</s:v>
      </s:c>
      <s:c r="I9" s="5">
        <s:f>H9*Assumptions!$B$11</s:f>
        <s:v>71.27399884297795</s:v>
      </s:c>
      <s:c r="J9" s="5">
        <s:f>H9-I9</s:f>
        <s:v>7056.125885454817</s:v>
      </s:c>
      <s:c r="K9" s="5">
        <s:f>H9*Assumptions!$B$12+G9*Assumptions!$B$13</s:f>
        <s:v>273.4893204615138</s:v>
      </s:c>
      <s:c r="L9" s="5">
        <s:f>G9*(Assumptions!$B$14+Assumptions!$B$15)</s:f>
        <s:v>845.1462313396594</s:v>
      </s:c>
      <s:c r="M9" s="5">
        <s:f>E9*Assumptions!$B$16</s:f>
        <s:v>1092.0</s:v>
      </s:c>
      <s:c r="N9" s="5">
        <s:f>SUM(K9:M9)</s:f>
        <s:v>2210.6355518011733</s:v>
      </s:c>
      <s:c r="O9" s="5">
        <s:f>J9-N9</s:f>
        <s:v>4845.490333653644</s:v>
      </s:c>
      <s:c r="P9" s="5">
        <s:f>INDEX(Assumptions!$B$30:$D$30,1,B9)</s:f>
        <s:v>9500.0</s:v>
      </s:c>
      <s:c r="Q9" s="5">
        <s:f>Acquisition!C9</s:f>
        <s:v>0</s:v>
      </s:c>
      <s:c r="R9" s="5">
        <s:f>O9-P9-Q9</s:f>
        <s:v>-4654.509666346356</s:v>
      </s:c>
      <s:c r="S9" s="5">
        <s:f>0</s:f>
        <s:v>0</s:v>
      </s:c>
      <s:c r="T9" s="5">
        <s:f>R9-S9</s:f>
        <s:v>-4654.509666346356</s:v>
      </s:c>
      <s:c r="U9" s="5">
        <s:f>U8+T9</s:f>
        <s:v>95666.70692341078</s:v>
      </s:c>
      <s:c r="V9" s="5">
        <s:f>F9*Assumptions!$B$9</s:f>
        <s:v>8278.549884297794</s:v>
      </s:c>
      <s:c r="W9" s="5">
        <s:f>V9*12</s:f>
        <s:v>99342.59861157353</s:v>
      </s:c>
    </s:row>
    <s:row r="10">
      <s:c r="A10" s="2" t="n">
        <s:v>9</s:v>
      </s:c>
      <s:c r="B10" s="4">
        <s:f>INT((A10-1)/12)+1</s:f>
        <s:v>1</s:v>
      </s:c>
      <s:c r="C10" s="5">
        <s:f>F9</s:f>
        <s:v>65.44308208931062</s:v>
      </s:c>
      <s:c r="D10" s="5">
        <s:f>C10*Assumptions!$B$23</s:f>
        <s:v>0.9816462313396593</s:v>
      </s:c>
      <s:c r="E10" s="5">
        <s:f>Acquisition!B10*Assumptions!$B$22</s:f>
        <s:v>21.0</s:v>
      </s:c>
      <s:c r="F10" s="5">
        <s:f>C10-D10+E10</s:f>
        <s:v>85.46143585797097</s:v>
      </s:c>
      <s:c r="G10" s="5">
        <s:f>C10-D10+E10/2</s:f>
        <s:v>74.96143585797097</s:v>
      </s:c>
      <s:c r="H10" s="5">
        <s:f>G10*Assumptions!$B$9</s:f>
        <s:v>9482.621636033327</s:v>
      </s:c>
      <s:c r="I10" s="5">
        <s:f>H10*Assumptions!$B$11</s:f>
        <s:v>94.82621636033328</s:v>
      </s:c>
      <s:c r="J10" s="5">
        <s:f>H10-I10</s:f>
        <s:v>9387.795419672993</s:v>
      </s:c>
      <s:c r="K10" s="5">
        <s:f>H10*Assumptions!$B$12+G10*Assumptions!$B$13</s:f>
        <s:v>363.86280965459105</s:v>
      </s:c>
      <s:c r="L10" s="5">
        <s:f>G10*(Assumptions!$B$14+Assumptions!$B$15)</s:f>
        <s:v>1124.4215378695644</s:v>
      </s:c>
      <s:c r="M10" s="5">
        <s:f>E10*Assumptions!$B$16</s:f>
        <s:v>1260.0</s:v>
      </s:c>
      <s:c r="N10" s="5">
        <s:f>SUM(K10:M10)</s:f>
        <s:v>2748.2843475241552</s:v>
      </s:c>
      <s:c r="O10" s="5">
        <s:f>J10-N10</s:f>
        <s:v>6639.511072148838</s:v>
      </s:c>
      <s:c r="P10" s="5">
        <s:f>INDEX(Assumptions!$B$30:$D$30,1,B10)</s:f>
        <s:v>9500.0</s:v>
      </s:c>
      <s:c r="Q10" s="5">
        <s:f>Acquisition!C10</s:f>
        <s:v>0</s:v>
      </s:c>
      <s:c r="R10" s="5">
        <s:f>O10-P10-Q10</s:f>
        <s:v>-2860.488927851162</s:v>
      </s:c>
      <s:c r="S10" s="5">
        <s:f>0</s:f>
        <s:v>0</s:v>
      </s:c>
      <s:c r="T10" s="5">
        <s:f>R10-S10</s:f>
        <s:v>-2860.488927851162</s:v>
      </s:c>
      <s:c r="U10" s="5">
        <s:f>U9+T10</s:f>
        <s:v>92806.21799555962</s:v>
      </s:c>
      <s:c r="V10" s="5">
        <s:f>F10*Assumptions!$B$9</s:f>
        <s:v>10810.871636033327</s:v>
      </s:c>
      <s:c r="W10" s="5">
        <s:f>V10*12</s:f>
        <s:v>129730.45963239993</s:v>
      </s:c>
    </s:row>
    <s:row r="11">
      <s:c r="A11" s="2" t="n">
        <s:v>10</s:v>
      </s:c>
      <s:c r="B11" s="4">
        <s:f>INT((A11-1)/12)+1</s:f>
        <s:v>1</s:v>
      </s:c>
      <s:c r="C11" s="5">
        <s:f>F10</s:f>
        <s:v>85.46143585797097</s:v>
      </s:c>
      <s:c r="D11" s="5">
        <s:f>C11*Assumptions!$B$23</s:f>
        <s:v>1.2819215378695645</s:v>
      </s:c>
      <s:c r="E11" s="5">
        <s:f>Acquisition!B11*Assumptions!$B$22</s:f>
        <s:v>23.799999999999997</s:v>
      </s:c>
      <s:c r="F11" s="5">
        <s:f>C11-D11+E11</s:f>
        <s:v>107.9795143201014</s:v>
      </s:c>
      <s:c r="G11" s="5">
        <s:f>C11-D11+E11/2</s:f>
        <s:v>96.0795143201014</s:v>
      </s:c>
      <s:c r="H11" s="5">
        <s:f>G11*Assumptions!$B$9</s:f>
        <s:v>12154.058561492826</s:v>
      </s:c>
      <s:c r="I11" s="5">
        <s:f>H11*Assumptions!$B$11</s:f>
        <s:v>121.54058561492826</s:v>
      </s:c>
      <s:c r="J11" s="5">
        <s:f>H11-I11</s:f>
        <s:v>12032.517975877898</s:v>
      </s:c>
      <s:c r="K11" s="5">
        <s:f>H11*Assumptions!$B$12+G11*Assumptions!$B$13</s:f>
        <s:v>466.3699625097721</s:v>
      </s:c>
      <s:c r="L11" s="5">
        <s:f>G11*(Assumptions!$B$14+Assumptions!$B$15)</s:f>
        <s:v>1441.1927148015209</s:v>
      </s:c>
      <s:c r="M11" s="5">
        <s:f>E11*Assumptions!$B$16</s:f>
        <s:v>1427.9999999999998</s:v>
      </s:c>
      <s:c r="N11" s="5">
        <s:f>SUM(K11:M11)</s:f>
        <s:v>3335.5626773112926</s:v>
      </s:c>
      <s:c r="O11" s="5">
        <s:f>J11-N11</s:f>
        <s:v>8696.955298566605</s:v>
      </s:c>
      <s:c r="P11" s="5">
        <s:f>INDEX(Assumptions!$B$30:$D$30,1,B11)</s:f>
        <s:v>9500.0</s:v>
      </s:c>
      <s:c r="Q11" s="5">
        <s:f>Acquisition!C11</s:f>
        <s:v>0</s:v>
      </s:c>
      <s:c r="R11" s="5">
        <s:f>O11-P11-Q11</s:f>
        <s:v>-803.044701433395</s:v>
      </s:c>
      <s:c r="S11" s="5">
        <s:f>0</s:f>
        <s:v>0</s:v>
      </s:c>
      <s:c r="T11" s="5">
        <s:f>R11-S11</s:f>
        <s:v>-803.044701433395</s:v>
      </s:c>
      <s:c r="U11" s="5">
        <s:f>U10+T11</s:f>
        <s:v>92003.17329412623</s:v>
      </s:c>
      <s:c r="V11" s="5">
        <s:f>F11*Assumptions!$B$9</s:f>
        <s:v>13659.408561492828</s:v>
      </s:c>
      <s:c r="W11" s="5">
        <s:f>V11*12</s:f>
        <s:v>163912.90273791394</s:v>
      </s:c>
    </s:row>
    <s:row r="12">
      <s:c r="A12" s="2" t="n">
        <s:v>11</s:v>
      </s:c>
      <s:c r="B12" s="4">
        <s:f>INT((A12-1)/12)+1</s:f>
        <s:v>1</s:v>
      </s:c>
      <s:c r="C12" s="5">
        <s:f>F11</s:f>
        <s:v>107.9795143201014</s:v>
      </s:c>
      <s:c r="D12" s="5">
        <s:f>C12*Assumptions!$B$23</s:f>
        <s:v>1.619692714801521</s:v>
      </s:c>
      <s:c r="E12" s="5">
        <s:f>Acquisition!B12*Assumptions!$B$22</s:f>
        <s:v>26.599999999999998</s:v>
      </s:c>
      <s:c r="F12" s="5">
        <s:f>C12-D12+E12</s:f>
        <s:v>132.95982160529988</s:v>
      </s:c>
      <s:c r="G12" s="5">
        <s:f>C12-D12+E12/2</s:f>
        <s:v>119.65982160529988</s:v>
      </s:c>
      <s:c r="H12" s="5">
        <s:f>G12*Assumptions!$B$9</s:f>
        <s:v>15136.967433070435</s:v>
      </s:c>
      <s:c r="I12" s="5">
        <s:f>H12*Assumptions!$B$11</s:f>
        <s:v>151.36967433070436</s:v>
      </s:c>
      <s:c r="J12" s="5">
        <s:f>H12-I12</s:f>
        <s:v>14985.59775873973</s:v>
      </s:c>
      <s:c r="K12" s="5">
        <s:f>H12*Assumptions!$B$12+G12*Assumptions!$B$13</s:f>
        <s:v>580.8287740721256</s:v>
      </s:c>
      <s:c r="L12" s="5">
        <s:f>G12*(Assumptions!$B$14+Assumptions!$B$15)</s:f>
        <s:v>1794.8973240794983</s:v>
      </s:c>
      <s:c r="M12" s="5">
        <s:f>E12*Assumptions!$B$16</s:f>
        <s:v>1595.9999999999998</s:v>
      </s:c>
      <s:c r="N12" s="5">
        <s:f>SUM(K12:M12)</s:f>
        <s:v>3971.726098151624</s:v>
      </s:c>
      <s:c r="O12" s="5">
        <s:f>J12-N12</s:f>
        <s:v>11013.871660588105</s:v>
      </s:c>
      <s:c r="P12" s="5">
        <s:f>INDEX(Assumptions!$B$30:$D$30,1,B12)</s:f>
        <s:v>9500.0</s:v>
      </s:c>
      <s:c r="Q12" s="5">
        <s:f>Acquisition!C12</s:f>
        <s:v>0</s:v>
      </s:c>
      <s:c r="R12" s="5">
        <s:f>O12-P12-Q12</s:f>
        <s:v>1513.8716605881054</s:v>
      </s:c>
      <s:c r="S12" s="5">
        <s:f>0</s:f>
        <s:v>0</s:v>
      </s:c>
      <s:c r="T12" s="5">
        <s:f>R12-S12</s:f>
        <s:v>1513.8716605881054</s:v>
      </s:c>
      <s:c r="U12" s="5">
        <s:f>U11+T12</s:f>
        <s:v>93517.04495471434</s:v>
      </s:c>
      <s:c r="V12" s="5">
        <s:f>F12*Assumptions!$B$9</s:f>
        <s:v>16819.417433070434</s:v>
      </s:c>
      <s:c r="W12" s="5">
        <s:f>V12*12</s:f>
        <s:v>201833.0091968452</s:v>
      </s:c>
    </s:row>
    <s:row r="13">
      <s:c r="A13" s="2" t="n">
        <s:v>12</s:v>
      </s:c>
      <s:c r="B13" s="4">
        <s:f>INT((A13-1)/12)+1</s:f>
        <s:v>1</s:v>
      </s:c>
      <s:c r="C13" s="5">
        <s:f>F12</s:f>
        <s:v>132.95982160529988</s:v>
      </s:c>
      <s:c r="D13" s="5">
        <s:f>C13*Assumptions!$B$23</s:f>
        <s:v>1.994397324079498</s:v>
      </s:c>
      <s:c r="E13" s="5">
        <s:f>Acquisition!B13*Assumptions!$B$22</s:f>
        <s:v>29.4</s:v>
      </s:c>
      <s:c r="F13" s="5">
        <s:f>C13-D13+E13</s:f>
        <s:v>160.36542428122038</s:v>
      </s:c>
      <s:c r="G13" s="5">
        <s:f>C13-D13+E13/2</s:f>
        <s:v>145.66542428122037</s:v>
      </s:c>
      <s:c r="H13" s="5">
        <s:f>G13*Assumptions!$B$9</s:f>
        <s:v>18426.676171574378</s:v>
      </s:c>
      <s:c r="I13" s="5">
        <s:f>H13*Assumptions!$B$11</s:f>
        <s:v>184.26676171574377</s:v>
      </s:c>
      <s:c r="J13" s="5">
        <s:f>H13-I13</s:f>
        <s:v>18242.409409858636</s:v>
      </s:c>
      <s:c r="K13" s="5">
        <s:f>H13*Assumptions!$B$12+G13*Assumptions!$B$13</s:f>
        <s:v>707.0599694610437</s:v>
      </s:c>
      <s:c r="L13" s="5">
        <s:f>G13*(Assumptions!$B$14+Assumptions!$B$15)</s:f>
        <s:v>2184.9813642183053</s:v>
      </s:c>
      <s:c r="M13" s="5">
        <s:f>E13*Assumptions!$B$16</s:f>
        <s:v>1764.0</s:v>
      </s:c>
      <s:c r="N13" s="5">
        <s:f>SUM(K13:M13)</s:f>
        <s:v>4656.041333679349</s:v>
      </s:c>
      <s:c r="O13" s="5">
        <s:f>J13-N13</s:f>
        <s:v>13586.368076179286</s:v>
      </s:c>
      <s:c r="P13" s="5">
        <s:f>INDEX(Assumptions!$B$30:$D$30,1,B13)</s:f>
        <s:v>9500.0</s:v>
      </s:c>
      <s:c r="Q13" s="5">
        <s:f>Acquisition!C13</s:f>
        <s:v>0</s:v>
      </s:c>
      <s:c r="R13" s="5">
        <s:f>O13-P13-Q13</s:f>
        <s:v>4086.3680761792857</s:v>
      </s:c>
      <s:c r="S13" s="5">
        <s:f>MAX(SUM(R2:R13),0)*Assumptions!$B$17</s:f>
        <s:v>0.0</s:v>
      </s:c>
      <s:c r="T13" s="5">
        <s:f>R13-S13</s:f>
        <s:v>4086.3680761792857</s:v>
      </s:c>
      <s:c r="U13" s="5">
        <s:f>U12+T13</s:f>
        <s:v>97603.41303089363</s:v>
      </s:c>
      <s:c r="V13" s="5">
        <s:f>F13*Assumptions!$B$9</s:f>
        <s:v>20286.226171574377</s:v>
      </s:c>
      <s:c r="W13" s="5">
        <s:f>V13*12</s:f>
        <s:v>243434.7140588925</s:v>
      </s:c>
    </s:row>
    <s:row r="14">
      <s:c r="A14" s="2" t="n">
        <s:v>13</s:v>
      </s:c>
      <s:c r="B14" s="4">
        <s:f>INT((A14-1)/12)+1</s:f>
        <s:v>2</s:v>
      </s:c>
      <s:c r="C14" s="5">
        <s:f>F13</s:f>
        <s:v>160.36542428122038</s:v>
      </s:c>
      <s:c r="D14" s="5">
        <s:f>C14*Assumptions!$B$23</s:f>
        <s:v>2.4054813642183057</s:v>
      </s:c>
      <s:c r="E14" s="5">
        <s:f>Acquisition!B14*Assumptions!$B$22</s:f>
        <s:v>35.0</s:v>
      </s:c>
      <s:c r="F14" s="5">
        <s:f>C14-D14+E14</s:f>
        <s:v>192.95994291700208</s:v>
      </s:c>
      <s:c r="G14" s="5">
        <s:f>C14-D14+E14/2</s:f>
        <s:v>175.45994291700208</s:v>
      </s:c>
      <s:c r="H14" s="5">
        <s:f>G14*Assumptions!$B$9</s:f>
        <s:v>22195.682779000763</s:v>
      </s:c>
      <s:c r="I14" s="5">
        <s:f>H14*Assumptions!$B$11</s:f>
        <s:v>221.95682779000762</s:v>
      </s:c>
      <s:c r="J14" s="5">
        <s:f>H14-I14</s:f>
        <s:v>21973.725951210756</s:v>
      </s:c>
      <s:c r="K14" s="5">
        <s:f>H14*Assumptions!$B$12+G14*Assumptions!$B$13</s:f>
        <s:v>851.682562919128</s:v>
      </s:c>
      <s:c r="L14" s="5">
        <s:f>G14*(Assumptions!$B$14+Assumptions!$B$15)</s:f>
        <s:v>2631.899143755031</s:v>
      </s:c>
      <s:c r="M14" s="5">
        <s:f>E14*Assumptions!$B$16</s:f>
        <s:v>2100.0</s:v>
      </s:c>
      <s:c r="N14" s="5">
        <s:f>SUM(K14:M14)</s:f>
        <s:v>5583.581706674159</s:v>
      </s:c>
      <s:c r="O14" s="5">
        <s:f>J14-N14</s:f>
        <s:v>16390.144244536597</s:v>
      </s:c>
      <s:c r="P14" s="5">
        <s:f>INDEX(Assumptions!$B$30:$D$30,1,B14)</s:f>
        <s:v>15500.0</s:v>
      </s:c>
      <s:c r="Q14" s="5">
        <s:f>Acquisition!C14</s:f>
        <s:v>0</s:v>
      </s:c>
      <s:c r="R14" s="5">
        <s:f>O14-P14-Q14</s:f>
        <s:v>890.1442445365974</s:v>
      </s:c>
      <s:c r="S14" s="5">
        <s:f>0</s:f>
        <s:v>0</s:v>
      </s:c>
      <s:c r="T14" s="5">
        <s:f>R14-S14</s:f>
        <s:v>890.1442445365974</s:v>
      </s:c>
      <s:c r="U14" s="5">
        <s:f>U13+T14</s:f>
        <s:v>98493.55727543023</s:v>
      </s:c>
      <s:c r="V14" s="5">
        <s:f>F14*Assumptions!$B$9</s:f>
        <s:v>24409.432779000763</s:v>
      </s:c>
      <s:c r="W14" s="5">
        <s:f>V14*12</s:f>
        <s:v>292913.19334800914</s:v>
      </s:c>
    </s:row>
    <s:row r="15">
      <s:c r="A15" s="2" t="n">
        <s:v>14</s:v>
      </s:c>
      <s:c r="B15" s="4">
        <s:f>INT((A15-1)/12)+1</s:f>
        <s:v>2</s:v>
      </s:c>
      <s:c r="C15" s="5">
        <s:f>F14</s:f>
        <s:v>192.95994291700208</s:v>
      </s:c>
      <s:c r="D15" s="5">
        <s:f>C15*Assumptions!$B$23</s:f>
        <s:v>2.894399143755031</s:v>
      </s:c>
      <s:c r="E15" s="5">
        <s:f>Acquisition!B15*Assumptions!$B$22</s:f>
        <s:v>35.0</s:v>
      </s:c>
      <s:c r="F15" s="5">
        <s:f>C15-D15+E15</s:f>
        <s:v>225.06554377324704</s:v>
      </s:c>
      <s:c r="G15" s="5">
        <s:f>C15-D15+E15/2</s:f>
        <s:v>207.56554377324704</s:v>
      </s:c>
      <s:c r="H15" s="5">
        <s:f>G15*Assumptions!$B$9</s:f>
        <s:v>26257.04128731575</s:v>
      </s:c>
      <s:c r="I15" s="5">
        <s:f>H15*Assumptions!$B$11</s:f>
        <s:v>262.5704128731575</s:v>
      </s:c>
      <s:c r="J15" s="5">
        <s:f>H15-I15</s:f>
        <s:v>25994.470874442595</s:v>
      </s:c>
      <s:c r="K15" s="5">
        <s:f>H15*Assumptions!$B$12+G15*Assumptions!$B$13</s:f>
        <s:v>1007.523149475341</s:v>
      </s:c>
      <s:c r="L15" s="5">
        <s:f>G15*(Assumptions!$B$14+Assumptions!$B$15)</s:f>
        <s:v>3113.4831565987056</s:v>
      </s:c>
      <s:c r="M15" s="5">
        <s:f>E15*Assumptions!$B$16</s:f>
        <s:v>2100.0</s:v>
      </s:c>
      <s:c r="N15" s="5">
        <s:f>SUM(K15:M15)</s:f>
        <s:v>6221.006306074047</s:v>
      </s:c>
      <s:c r="O15" s="5">
        <s:f>J15-N15</s:f>
        <s:v>19773.46456836855</s:v>
      </s:c>
      <s:c r="P15" s="5">
        <s:f>INDEX(Assumptions!$B$30:$D$30,1,B15)</s:f>
        <s:v>15500.0</s:v>
      </s:c>
      <s:c r="Q15" s="5">
        <s:f>Acquisition!C15</s:f>
        <s:v>0</s:v>
      </s:c>
      <s:c r="R15" s="5">
        <s:f>O15-P15-Q15</s:f>
        <s:v>4273.4645683685485</s:v>
      </s:c>
      <s:c r="S15" s="5">
        <s:f>0</s:f>
        <s:v>0</s:v>
      </s:c>
      <s:c r="T15" s="5">
        <s:f>R15-S15</s:f>
        <s:v>4273.4645683685485</s:v>
      </s:c>
      <s:c r="U15" s="5">
        <s:f>U14+T15</s:f>
        <s:v>102767.02184379878</s:v>
      </s:c>
      <s:c r="V15" s="5">
        <s:f>F15*Assumptions!$B$9</s:f>
        <s:v>28470.79128731575</s:v>
      </s:c>
      <s:c r="W15" s="5">
        <s:f>V15*12</s:f>
        <s:v>341649.495447789</s:v>
      </s:c>
    </s:row>
    <s:row r="16">
      <s:c r="A16" s="2" t="n">
        <s:v>15</s:v>
      </s:c>
      <s:c r="B16" s="4">
        <s:f>INT((A16-1)/12)+1</s:f>
        <s:v>2</s:v>
      </s:c>
      <s:c r="C16" s="5">
        <s:f>F15</s:f>
        <s:v>225.06554377324704</s:v>
      </s:c>
      <s:c r="D16" s="5">
        <s:f>C16*Assumptions!$B$23</s:f>
        <s:v>3.3759831565987057</s:v>
      </s:c>
      <s:c r="E16" s="5">
        <s:f>Acquisition!B16*Assumptions!$B$22</s:f>
        <s:v>35.0</s:v>
      </s:c>
      <s:c r="F16" s="5">
        <s:f>C16-D16+E16</s:f>
        <s:v>256.68956061664835</s:v>
      </s:c>
      <s:c r="G16" s="5">
        <s:f>C16-D16+E16/2</s:f>
        <s:v>239.18956061664835</s:v>
      </s:c>
      <s:c r="H16" s="5">
        <s:f>G16*Assumptions!$B$9</s:f>
        <s:v>30257.479418006016</s:v>
      </s:c>
      <s:c r="I16" s="5">
        <s:f>H16*Assumptions!$B$11</s:f>
        <s:v>302.57479418006017</s:v>
      </s:c>
      <s:c r="J16" s="5">
        <s:f>H16-I16</s:f>
        <s:v>29954.904623825954</s:v>
      </s:c>
      <s:c r="K16" s="5">
        <s:f>H16*Assumptions!$B$12+G16*Assumptions!$B$13</s:f>
        <s:v>1161.0261272332111</s:v>
      </s:c>
      <s:c r="L16" s="5">
        <s:f>G16*(Assumptions!$B$14+Assumptions!$B$15)</s:f>
        <s:v>3587.8434092497255</s:v>
      </s:c>
      <s:c r="M16" s="5">
        <s:f>E16*Assumptions!$B$16</s:f>
        <s:v>2100.0</s:v>
      </s:c>
      <s:c r="N16" s="5">
        <s:f>SUM(K16:M16)</s:f>
        <s:v>6848.869536482936</s:v>
      </s:c>
      <s:c r="O16" s="5">
        <s:f>J16-N16</s:f>
        <s:v>23106.035087343018</s:v>
      </s:c>
      <s:c r="P16" s="5">
        <s:f>INDEX(Assumptions!$B$30:$D$30,1,B16)</s:f>
        <s:v>15500.0</s:v>
      </s:c>
      <s:c r="Q16" s="5">
        <s:f>Acquisition!C16</s:f>
        <s:v>0</s:v>
      </s:c>
      <s:c r="R16" s="5">
        <s:f>O16-P16-Q16</s:f>
        <s:v>7606.035087343018</s:v>
      </s:c>
      <s:c r="S16" s="5">
        <s:f>0</s:f>
        <s:v>0</s:v>
      </s:c>
      <s:c r="T16" s="5">
        <s:f>R16-S16</s:f>
        <s:v>7606.035087343018</s:v>
      </s:c>
      <s:c r="U16" s="5">
        <s:f>U15+T16</s:f>
        <s:v>110373.0569311418</s:v>
      </s:c>
      <s:c r="V16" s="5">
        <s:f>F16*Assumptions!$B$9</s:f>
        <s:v>32471.229418006016</s:v>
      </s:c>
      <s:c r="W16" s="5">
        <s:f>V16*12</s:f>
        <s:v>389654.7530160722</s:v>
      </s:c>
    </s:row>
    <s:row r="17">
      <s:c r="A17" s="2" t="n">
        <s:v>16</s:v>
      </s:c>
      <s:c r="B17" s="4">
        <s:f>INT((A17-1)/12)+1</s:f>
        <s:v>2</s:v>
      </s:c>
      <s:c r="C17" s="5">
        <s:f>F16</s:f>
        <s:v>256.68956061664835</s:v>
      </s:c>
      <s:c r="D17" s="5">
        <s:f>C17*Assumptions!$B$23</s:f>
        <s:v>3.8503434092497253</s:v>
      </s:c>
      <s:c r="E17" s="5">
        <s:f>Acquisition!B17*Assumptions!$B$22</s:f>
        <s:v>35.0</s:v>
      </s:c>
      <s:c r="F17" s="5">
        <s:f>C17-D17+E17</s:f>
        <s:v>287.83921720739863</s:v>
      </s:c>
      <s:c r="G17" s="5">
        <s:f>C17-D17+E17/2</s:f>
        <s:v>270.33921720739863</s:v>
      </s:c>
      <s:c r="H17" s="5">
        <s:f>G17*Assumptions!$B$9</s:f>
        <s:v>34197.910976735926</s:v>
      </s:c>
      <s:c r="I17" s="5">
        <s:f>H17*Assumptions!$B$11</s:f>
        <s:v>341.97910976735926</s:v>
      </s:c>
      <s:c r="J17" s="5">
        <s:f>H17-I17</s:f>
        <s:v>33855.93186696857</s:v>
      </s:c>
      <s:c r="K17" s="5">
        <s:f>H17*Assumptions!$B$12+G17*Assumptions!$B$13</s:f>
        <s:v>1312.2265603247129</s:v>
      </s:c>
      <s:c r="L17" s="5">
        <s:f>G17*(Assumptions!$B$14+Assumptions!$B$15)</s:f>
        <s:v>4055.0882581109795</s:v>
      </s:c>
      <s:c r="M17" s="5">
        <s:f>E17*Assumptions!$B$16</s:f>
        <s:v>2100.0</s:v>
      </s:c>
      <s:c r="N17" s="5">
        <s:f>SUM(K17:M17)</s:f>
        <s:v>7467.314818435692</s:v>
      </s:c>
      <s:c r="O17" s="5">
        <s:f>J17-N17</s:f>
        <s:v>26388.617048532877</s:v>
      </s:c>
      <s:c r="P17" s="5">
        <s:f>INDEX(Assumptions!$B$30:$D$30,1,B17)</s:f>
        <s:v>15500.0</s:v>
      </s:c>
      <s:c r="Q17" s="5">
        <s:f>Acquisition!C17</s:f>
        <s:v>0</s:v>
      </s:c>
      <s:c r="R17" s="5">
        <s:f>O17-P17-Q17</s:f>
        <s:v>10888.617048532877</s:v>
      </s:c>
      <s:c r="S17" s="5">
        <s:f>0</s:f>
        <s:v>0</s:v>
      </s:c>
      <s:c r="T17" s="5">
        <s:f>R17-S17</s:f>
        <s:v>10888.617048532877</s:v>
      </s:c>
      <s:c r="U17" s="5">
        <s:f>U16+T17</s:f>
        <s:v>121261.67397967467</s:v>
      </s:c>
      <s:c r="V17" s="5">
        <s:f>F17*Assumptions!$B$9</s:f>
        <s:v>36411.660976735926</s:v>
      </s:c>
      <s:c r="W17" s="5">
        <s:f>V17*12</s:f>
        <s:v>436939.9317208311</s:v>
      </s:c>
    </s:row>
    <s:row r="18">
      <s:c r="A18" s="2" t="n">
        <s:v>17</s:v>
      </s:c>
      <s:c r="B18" s="4">
        <s:f>INT((A18-1)/12)+1</s:f>
        <s:v>2</s:v>
      </s:c>
      <s:c r="C18" s="5">
        <s:f>F17</s:f>
        <s:v>287.83921720739863</s:v>
      </s:c>
      <s:c r="D18" s="5">
        <s:f>C18*Assumptions!$B$23</s:f>
        <s:v>4.3175882581109795</s:v>
      </s:c>
      <s:c r="E18" s="5">
        <s:f>Acquisition!B18*Assumptions!$B$22</s:f>
        <s:v>35.0</s:v>
      </s:c>
      <s:c r="F18" s="5">
        <s:f>C18-D18+E18</s:f>
        <s:v>318.5216289492877</s:v>
      </s:c>
      <s:c r="G18" s="5">
        <s:f>C18-D18+E18/2</s:f>
        <s:v>301.0216289492877</s:v>
      </s:c>
      <s:c r="H18" s="5">
        <s:f>G18*Assumptions!$B$9</s:f>
        <s:v>38079.23606208489</s:v>
      </s:c>
      <s:c r="I18" s="5">
        <s:f>H18*Assumptions!$B$11</s:f>
        <s:v>380.7923606208489</s:v>
      </s:c>
      <s:c r="J18" s="5">
        <s:f>H18-I18</s:f>
        <s:v>37698.44370146404</s:v>
      </s:c>
      <s:c r="K18" s="5">
        <s:f>H18*Assumptions!$B$12+G18*Assumptions!$B$13</s:f>
        <s:v>1461.1589869198422</s:v>
      </s:c>
      <s:c r="L18" s="5">
        <s:f>G18*(Assumptions!$B$14+Assumptions!$B$15)</s:f>
        <s:v>4515.324434239315</s:v>
      </s:c>
      <s:c r="M18" s="5">
        <s:f>E18*Assumptions!$B$16</s:f>
        <s:v>2100.0</s:v>
      </s:c>
      <s:c r="N18" s="5">
        <s:f>SUM(K18:M18)</s:f>
        <s:v>8076.483421159158</s:v>
      </s:c>
      <s:c r="O18" s="5">
        <s:f>J18-N18</s:f>
        <s:v>29621.960280304884</s:v>
      </s:c>
      <s:c r="P18" s="5">
        <s:f>INDEX(Assumptions!$B$30:$D$30,1,B18)</s:f>
        <s:v>15500.0</s:v>
      </s:c>
      <s:c r="Q18" s="5">
        <s:f>Acquisition!C18</s:f>
        <s:v>0</s:v>
      </s:c>
      <s:c r="R18" s="5">
        <s:f>O18-P18-Q18</s:f>
        <s:v>14121.960280304884</s:v>
      </s:c>
      <s:c r="S18" s="5">
        <s:f>0</s:f>
        <s:v>0</s:v>
      </s:c>
      <s:c r="T18" s="5">
        <s:f>R18-S18</s:f>
        <s:v>14121.960280304884</s:v>
      </s:c>
      <s:c r="U18" s="5">
        <s:f>U17+T18</s:f>
        <s:v>135383.63425997956</s:v>
      </s:c>
      <s:c r="V18" s="5">
        <s:f>F18*Assumptions!$B$9</s:f>
        <s:v>40292.98606208489</s:v>
      </s:c>
      <s:c r="W18" s="5">
        <s:f>V18*12</s:f>
        <s:v>483515.8327450187</s:v>
      </s:c>
    </s:row>
    <s:row r="19">
      <s:c r="A19" s="2" t="n">
        <s:v>18</s:v>
      </s:c>
      <s:c r="B19" s="4">
        <s:f>INT((A19-1)/12)+1</s:f>
        <s:v>2</s:v>
      </s:c>
      <s:c r="C19" s="5">
        <s:f>F18</s:f>
        <s:v>318.5216289492877</s:v>
      </s:c>
      <s:c r="D19" s="5">
        <s:f>C19*Assumptions!$B$23</s:f>
        <s:v>4.777824434239315</s:v>
      </s:c>
      <s:c r="E19" s="5">
        <s:f>Acquisition!B19*Assumptions!$B$22</s:f>
        <s:v>35.0</s:v>
      </s:c>
      <s:c r="F19" s="5">
        <s:f>C19-D19+E19</s:f>
        <s:v>348.74380451504834</s:v>
      </s:c>
      <s:c r="G19" s="5">
        <s:f>C19-D19+E19/2</s:f>
        <s:v>331.24380451504834</s:v>
      </s:c>
      <s:c r="H19" s="5">
        <s:f>G19*Assumptions!$B$9</s:f>
        <s:v>41902.341271153615</s:v>
      </s:c>
      <s:c r="I19" s="5">
        <s:f>H19*Assumptions!$B$11</s:f>
        <s:v>419.02341271153614</s:v>
      </s:c>
      <s:c r="J19" s="5">
        <s:f>H19-I19</s:f>
        <s:v>41483.31785844208</s:v>
      </s:c>
      <s:c r="K19" s="5">
        <s:f>H19*Assumptions!$B$12+G19*Assumptions!$B$13</s:f>
        <s:v>1607.8574271160444</s:v>
      </s:c>
      <s:c r="L19" s="5">
        <s:f>G19*(Assumptions!$B$14+Assumptions!$B$15)</s:f>
        <s:v>4968.657067725725</s:v>
      </s:c>
      <s:c r="M19" s="5">
        <s:f>E19*Assumptions!$B$16</s:f>
        <s:v>2100.0</s:v>
      </s:c>
      <s:c r="N19" s="5">
        <s:f>SUM(K19:M19)</s:f>
        <s:v>8676.51449484177</s:v>
      </s:c>
      <s:c r="O19" s="5">
        <s:f>J19-N19</s:f>
        <s:v>32806.80336360031</s:v>
      </s:c>
      <s:c r="P19" s="5">
        <s:f>INDEX(Assumptions!$B$30:$D$30,1,B19)</s:f>
        <s:v>15500.0</s:v>
      </s:c>
      <s:c r="Q19" s="5">
        <s:f>Acquisition!C19</s:f>
        <s:v>0</s:v>
      </s:c>
      <s:c r="R19" s="5">
        <s:f>O19-P19-Q19</s:f>
        <s:v>17306.80336360031</s:v>
      </s:c>
      <s:c r="S19" s="5">
        <s:f>0</s:f>
        <s:v>0</s:v>
      </s:c>
      <s:c r="T19" s="5">
        <s:f>R19-S19</s:f>
        <s:v>17306.80336360031</s:v>
      </s:c>
      <s:c r="U19" s="5">
        <s:f>U18+T19</s:f>
        <s:v>152690.43762357987</s:v>
      </s:c>
      <s:c r="V19" s="5">
        <s:f>F19*Assumptions!$B$9</s:f>
        <s:v>44116.091271153615</s:v>
      </s:c>
      <s:c r="W19" s="5">
        <s:f>V19*12</s:f>
        <s:v>529393.0952538433</s:v>
      </s:c>
    </s:row>
    <s:row r="20">
      <s:c r="A20" s="2" t="n">
        <s:v>19</s:v>
      </s:c>
      <s:c r="B20" s="4">
        <s:f>INT((A20-1)/12)+1</s:f>
        <s:v>2</s:v>
      </s:c>
      <s:c r="C20" s="5">
        <s:f>F19</s:f>
        <s:v>348.74380451504834</s:v>
      </s:c>
      <s:c r="D20" s="5">
        <s:f>C20*Assumptions!$B$23</s:f>
        <s:v>5.231157067725725</s:v>
      </s:c>
      <s:c r="E20" s="5">
        <s:f>Acquisition!B20*Assumptions!$B$22</s:f>
        <s:v>35.0</s:v>
      </s:c>
      <s:c r="F20" s="5">
        <s:f>C20-D20+E20</s:f>
        <s:v>378.5126474473226</s:v>
      </s:c>
      <s:c r="G20" s="5">
        <s:f>C20-D20+E20/2</s:f>
        <s:v>361.0126474473226</s:v>
      </s:c>
      <s:c r="H20" s="5">
        <s:f>G20*Assumptions!$B$9</s:f>
        <s:v>45668.09990208631</s:v>
      </s:c>
      <s:c r="I20" s="5">
        <s:f>H20*Assumptions!$B$11</s:f>
        <s:v>456.6809990208631</s:v>
      </s:c>
      <s:c r="J20" s="5">
        <s:f>H20-I20</s:f>
        <s:v>45211.418903065445</s:v>
      </s:c>
      <s:c r="K20" s="5">
        <s:f>H20*Assumptions!$B$12+G20*Assumptions!$B$13</s:f>
        <s:v>1752.355390709304</s:v>
      </s:c>
      <s:c r="L20" s="5">
        <s:f>G20*(Assumptions!$B$14+Assumptions!$B$15)</s:f>
        <s:v>5415.189711709839</s:v>
      </s:c>
      <s:c r="M20" s="5">
        <s:f>E20*Assumptions!$B$16</s:f>
        <s:v>2100.0</s:v>
      </s:c>
      <s:c r="N20" s="5">
        <s:f>SUM(K20:M20)</s:f>
        <s:v>9267.545102419142</s:v>
      </s:c>
      <s:c r="O20" s="5">
        <s:f>J20-N20</s:f>
        <s:v>35943.8738006463</s:v>
      </s:c>
      <s:c r="P20" s="5">
        <s:f>INDEX(Assumptions!$B$30:$D$30,1,B20)</s:f>
        <s:v>15500.0</s:v>
      </s:c>
      <s:c r="Q20" s="5">
        <s:f>Acquisition!C20</s:f>
        <s:v>0</s:v>
      </s:c>
      <s:c r="R20" s="5">
        <s:f>O20-P20-Q20</s:f>
        <s:v>20443.873800646303</s:v>
      </s:c>
      <s:c r="S20" s="5">
        <s:f>0</s:f>
        <s:v>0</s:v>
      </s:c>
      <s:c r="T20" s="5">
        <s:f>R20-S20</s:f>
        <s:v>20443.873800646303</s:v>
      </s:c>
      <s:c r="U20" s="5">
        <s:f>U19+T20</s:f>
        <s:v>173134.31142422618</s:v>
      </s:c>
      <s:c r="V20" s="5">
        <s:f>F20*Assumptions!$B$9</s:f>
        <s:v>47881.84990208631</s:v>
      </s:c>
      <s:c r="W20" s="5">
        <s:f>V20*12</s:f>
        <s:v>574582.1988250357</s:v>
      </s:c>
    </s:row>
    <s:row r="21">
      <s:c r="A21" s="2" t="n">
        <s:v>20</s:v>
      </s:c>
      <s:c r="B21" s="4">
        <s:f>INT((A21-1)/12)+1</s:f>
        <s:v>2</s:v>
      </s:c>
      <s:c r="C21" s="5">
        <s:f>F20</s:f>
        <s:v>378.5126474473226</s:v>
      </s:c>
      <s:c r="D21" s="5">
        <s:f>C21*Assumptions!$B$23</s:f>
        <s:v>5.677689711709839</s:v>
      </s:c>
      <s:c r="E21" s="5">
        <s:f>Acquisition!B21*Assumptions!$B$22</s:f>
        <s:v>35.0</s:v>
      </s:c>
      <s:c r="F21" s="5">
        <s:f>C21-D21+E21</s:f>
        <s:v>407.83495773561276</s:v>
      </s:c>
      <s:c r="G21" s="5">
        <s:f>C21-D21+E21/2</s:f>
        <s:v>390.33495773561276</s:v>
      </s:c>
      <s:c r="H21" s="5">
        <s:f>G21*Assumptions!$B$9</s:f>
        <s:v>49377.372153555014</s:v>
      </s:c>
      <s:c r="I21" s="5">
        <s:f>H21*Assumptions!$B$11</s:f>
        <s:v>493.7737215355501</s:v>
      </s:c>
      <s:c r="J21" s="5">
        <s:f>H21-I21</s:f>
        <s:v>48883.59843201946</s:v>
      </s:c>
      <s:c r="K21" s="5">
        <s:f>H21*Assumptions!$B$12+G21*Assumptions!$B$13</s:f>
        <s:v>1894.6858848486643</s:v>
      </s:c>
      <s:c r="L21" s="5">
        <s:f>G21*(Assumptions!$B$14+Assumptions!$B$15)</s:f>
        <s:v>5855.024366034191</s:v>
      </s:c>
      <s:c r="M21" s="5">
        <s:f>E21*Assumptions!$B$16</s:f>
        <s:v>2100.0</s:v>
      </s:c>
      <s:c r="N21" s="5">
        <s:f>SUM(K21:M21)</s:f>
        <s:v>9849.710250882856</s:v>
      </s:c>
      <s:c r="O21" s="5">
        <s:f>J21-N21</s:f>
        <s:v>39033.88818113661</s:v>
      </s:c>
      <s:c r="P21" s="5">
        <s:f>INDEX(Assumptions!$B$30:$D$30,1,B21)</s:f>
        <s:v>15500.0</s:v>
      </s:c>
      <s:c r="Q21" s="5">
        <s:f>Acquisition!C21</s:f>
        <s:v>0</s:v>
      </s:c>
      <s:c r="R21" s="5">
        <s:f>O21-P21-Q21</s:f>
        <s:v>23533.88818113661</s:v>
      </s:c>
      <s:c r="S21" s="5">
        <s:f>0</s:f>
        <s:v>0</s:v>
      </s:c>
      <s:c r="T21" s="5">
        <s:f>R21-S21</s:f>
        <s:v>23533.88818113661</s:v>
      </s:c>
      <s:c r="U21" s="5">
        <s:f>U20+T21</s:f>
        <s:v>196668.19960536278</s:v>
      </s:c>
      <s:c r="V21" s="5">
        <s:f>F21*Assumptions!$B$9</s:f>
        <s:v>51591.122153555014</s:v>
      </s:c>
      <s:c r="W21" s="5">
        <s:f>V21*12</s:f>
        <s:v>619093.4658426602</s:v>
      </s:c>
    </s:row>
    <s:row r="22">
      <s:c r="A22" s="2" t="n">
        <s:v>21</s:v>
      </s:c>
      <s:c r="B22" s="4">
        <s:f>INT((A22-1)/12)+1</s:f>
        <s:v>2</s:v>
      </s:c>
      <s:c r="C22" s="5">
        <s:f>F21</s:f>
        <s:v>407.83495773561276</s:v>
      </s:c>
      <s:c r="D22" s="5">
        <s:f>C22*Assumptions!$B$23</s:f>
        <s:v>6.117524366034191</s:v>
      </s:c>
      <s:c r="E22" s="5">
        <s:f>Acquisition!B22*Assumptions!$B$22</s:f>
        <s:v>35.0</s:v>
      </s:c>
      <s:c r="F22" s="5">
        <s:f>C22-D22+E22</s:f>
        <s:v>436.71743336957854</s:v>
      </s:c>
      <s:c r="G22" s="5">
        <s:f>C22-D22+E22/2</s:f>
        <s:v>419.21743336957854</s:v>
      </s:c>
      <s:c r="H22" s="5">
        <s:f>G22*Assumptions!$B$9</s:f>
        <s:v>53031.00532125169</s:v>
      </s:c>
      <s:c r="I22" s="5">
        <s:f>H22*Assumptions!$B$11</s:f>
        <s:v>530.3100532125169</s:v>
      </s:c>
      <s:c r="J22" s="5">
        <s:f>H22-I22</s:f>
        <s:v>52500.69526803917</s:v>
      </s:c>
      <s:c r="K22" s="5">
        <s:f>H22*Assumptions!$B$12+G22*Assumptions!$B$13</s:f>
        <s:v>2034.881421575934</s:v>
      </s:c>
      <s:c r="L22" s="5">
        <s:f>G22*(Assumptions!$B$14+Assumptions!$B$15)</s:f>
        <s:v>6288.261500543678</s:v>
      </s:c>
      <s:c r="M22" s="5">
        <s:f>E22*Assumptions!$B$16</s:f>
        <s:v>2100.0</s:v>
      </s:c>
      <s:c r="N22" s="5">
        <s:f>SUM(K22:M22)</s:f>
        <s:v>10423.142922119612</s:v>
      </s:c>
      <s:c r="O22" s="5">
        <s:f>J22-N22</s:f>
        <s:v>42077.552345919554</s:v>
      </s:c>
      <s:c r="P22" s="5">
        <s:f>INDEX(Assumptions!$B$30:$D$30,1,B22)</s:f>
        <s:v>15500.0</s:v>
      </s:c>
      <s:c r="Q22" s="5">
        <s:f>Acquisition!C22</s:f>
        <s:v>0</s:v>
      </s:c>
      <s:c r="R22" s="5">
        <s:f>O22-P22-Q22</s:f>
        <s:v>26577.552345919554</s:v>
      </s:c>
      <s:c r="S22" s="5">
        <s:f>0</s:f>
        <s:v>0</s:v>
      </s:c>
      <s:c r="T22" s="5">
        <s:f>R22-S22</s:f>
        <s:v>26577.552345919554</s:v>
      </s:c>
      <s:c r="U22" s="5">
        <s:f>U21+T22</s:f>
        <s:v>223245.75195128232</s:v>
      </s:c>
      <s:c r="V22" s="5">
        <s:f>F22*Assumptions!$B$9</s:f>
        <s:v>55244.75532125169</s:v>
      </s:c>
      <s:c r="W22" s="5">
        <s:f>V22*12</s:f>
        <s:v>662937.0638550202</s:v>
      </s:c>
    </s:row>
    <s:row r="23">
      <s:c r="A23" s="2" t="n">
        <s:v>22</s:v>
      </s:c>
      <s:c r="B23" s="4">
        <s:f>INT((A23-1)/12)+1</s:f>
        <s:v>2</s:v>
      </s:c>
      <s:c r="C23" s="5">
        <s:f>F22</s:f>
        <s:v>436.71743336957854</s:v>
      </s:c>
      <s:c r="D23" s="5">
        <s:f>C23*Assumptions!$B$23</s:f>
        <s:v>6.550761500543678</s:v>
      </s:c>
      <s:c r="E23" s="5">
        <s:f>Acquisition!B23*Assumptions!$B$22</s:f>
        <s:v>35.0</s:v>
      </s:c>
      <s:c r="F23" s="5">
        <s:f>C23-D23+E23</s:f>
        <s:v>465.1666718690349</s:v>
      </s:c>
      <s:c r="G23" s="5">
        <s:f>C23-D23+E23/2</s:f>
        <s:v>447.6666718690349</s:v>
      </s:c>
      <s:c r="H23" s="5">
        <s:f>G23*Assumptions!$B$9</s:f>
        <s:v>56629.83399143291</s:v>
      </s:c>
      <s:c r="I23" s="5">
        <s:f>H23*Assumptions!$B$11</s:f>
        <s:v>566.2983399143292</s:v>
      </s:c>
      <s:c r="J23" s="5">
        <s:f>H23-I23</s:f>
        <s:v>56063.535651518585</s:v>
      </s:c>
      <s:c r="K23" s="5">
        <s:f>H23*Assumptions!$B$12+G23*Assumptions!$B$13</s:f>
        <s:v>2172.974025252295</s:v>
      </s:c>
      <s:c r="L23" s="5">
        <s:f>G23*(Assumptions!$B$14+Assumptions!$B$15)</s:f>
        <s:v>6715.000078035523</s:v>
      </s:c>
      <s:c r="M23" s="5">
        <s:f>E23*Assumptions!$B$16</s:f>
        <s:v>2100.0</s:v>
      </s:c>
      <s:c r="N23" s="5">
        <s:f>SUM(K23:M23)</s:f>
        <s:v>10987.97410328782</s:v>
      </s:c>
      <s:c r="O23" s="5">
        <s:f>J23-N23</s:f>
        <s:v>45075.56154823076</s:v>
      </s:c>
      <s:c r="P23" s="5">
        <s:f>INDEX(Assumptions!$B$30:$D$30,1,B23)</s:f>
        <s:v>15500.0</s:v>
      </s:c>
      <s:c r="Q23" s="5">
        <s:f>Acquisition!C23</s:f>
        <s:v>0</s:v>
      </s:c>
      <s:c r="R23" s="5">
        <s:f>O23-P23-Q23</s:f>
        <s:v>29575.561548230762</s:v>
      </s:c>
      <s:c r="S23" s="5">
        <s:f>0</s:f>
        <s:v>0</s:v>
      </s:c>
      <s:c r="T23" s="5">
        <s:f>R23-S23</s:f>
        <s:v>29575.561548230762</s:v>
      </s:c>
      <s:c r="U23" s="5">
        <s:f>U22+T23</s:f>
        <s:v>252821.31349951308</s:v>
      </s:c>
      <s:c r="V23" s="5">
        <s:f>F23*Assumptions!$B$9</s:f>
        <s:v>58843.58399143291</s:v>
      </s:c>
      <s:c r="W23" s="5">
        <s:f>V23*12</s:f>
        <s:v>706123.0078971949</s:v>
      </s:c>
    </s:row>
    <s:row r="24">
      <s:c r="A24" s="2" t="n">
        <s:v>23</s:v>
      </s:c>
      <s:c r="B24" s="4">
        <s:f>INT((A24-1)/12)+1</s:f>
        <s:v>2</s:v>
      </s:c>
      <s:c r="C24" s="5">
        <s:f>F23</s:f>
        <s:v>465.1666718690349</s:v>
      </s:c>
      <s:c r="D24" s="5">
        <s:f>C24*Assumptions!$B$23</s:f>
        <s:v>6.977500078035523</s:v>
      </s:c>
      <s:c r="E24" s="5">
        <s:f>Acquisition!B24*Assumptions!$B$22</s:f>
        <s:v>35.0</s:v>
      </s:c>
      <s:c r="F24" s="5">
        <s:f>C24-D24+E24</s:f>
        <s:v>493.18917179099935</s:v>
      </s:c>
      <s:c r="G24" s="5">
        <s:f>C24-D24+E24/2</s:f>
        <s:v>475.68917179099935</s:v>
      </s:c>
      <s:c r="H24" s="5">
        <s:f>G24*Assumptions!$B$9</s:f>
        <s:v>60174.68023156142</s:v>
      </s:c>
      <s:c r="I24" s="5">
        <s:f>H24*Assumptions!$B$11</s:f>
        <s:v>601.7468023156142</s:v>
      </s:c>
      <s:c r="J24" s="5">
        <s:f>H24-I24</s:f>
        <s:v>59572.93342924581</s:v>
      </s:c>
      <s:c r="K24" s="5">
        <s:f>H24*Assumptions!$B$12+G24*Assumptions!$B$13</s:f>
        <s:v>2308.9952398735104</s:v>
      </s:c>
      <s:c r="L24" s="5">
        <s:f>G24*(Assumptions!$B$14+Assumptions!$B$15)</s:f>
        <s:v>7135.33757686499</s:v>
      </s:c>
      <s:c r="M24" s="5">
        <s:f>E24*Assumptions!$B$16</s:f>
        <s:v>2100.0</s:v>
      </s:c>
      <s:c r="N24" s="5">
        <s:f>SUM(K24:M24)</s:f>
        <s:v>11544.3328167385</s:v>
      </s:c>
      <s:c r="O24" s="5">
        <s:f>J24-N24</s:f>
        <s:v>48028.6006125073</s:v>
      </s:c>
      <s:c r="P24" s="5">
        <s:f>INDEX(Assumptions!$B$30:$D$30,1,B24)</s:f>
        <s:v>15500.0</s:v>
      </s:c>
      <s:c r="Q24" s="5">
        <s:f>Acquisition!C24</s:f>
        <s:v>0</s:v>
      </s:c>
      <s:c r="R24" s="5">
        <s:f>O24-P24-Q24</s:f>
        <s:v>32528.600612507304</s:v>
      </s:c>
      <s:c r="S24" s="5">
        <s:f>0</s:f>
        <s:v>0</s:v>
      </s:c>
      <s:c r="T24" s="5">
        <s:f>R24-S24</s:f>
        <s:v>32528.600612507304</s:v>
      </s:c>
      <s:c r="U24" s="5">
        <s:f>U23+T24</s:f>
        <s:v>285349.9141120204</s:v>
      </s:c>
      <s:c r="V24" s="5">
        <s:f>F24*Assumptions!$B$9</s:f>
        <s:v>62388.43023156142</s:v>
      </s:c>
      <s:c r="W24" s="5">
        <s:f>V24*12</s:f>
        <s:v>748661.162778737</s:v>
      </s:c>
    </s:row>
    <s:row r="25">
      <s:c r="A25" s="2" t="n">
        <s:v>24</s:v>
      </s:c>
      <s:c r="B25" s="4">
        <s:f>INT((A25-1)/12)+1</s:f>
        <s:v>2</s:v>
      </s:c>
      <s:c r="C25" s="5">
        <s:f>F24</s:f>
        <s:v>493.18917179099935</s:v>
      </s:c>
      <s:c r="D25" s="5">
        <s:f>C25*Assumptions!$B$23</s:f>
        <s:v>7.39783757686499</s:v>
      </s:c>
      <s:c r="E25" s="5">
        <s:f>Acquisition!B25*Assumptions!$B$22</s:f>
        <s:v>35.0</s:v>
      </s:c>
      <s:c r="F25" s="5">
        <s:f>C25-D25+E25</s:f>
        <s:v>520.7913342141344</s:v>
      </s:c>
      <s:c r="G25" s="5">
        <s:f>C25-D25+E25/2</s:f>
        <s:v>503.29133421413434</s:v>
      </s:c>
      <s:c r="H25" s="5">
        <s:f>G25*Assumptions!$B$9</s:f>
        <s:v>63666.35377808799</s:v>
      </s:c>
      <s:c r="I25" s="5">
        <s:f>H25*Assumptions!$B$11</s:f>
        <s:v>636.6635377808799</s:v>
      </s:c>
      <s:c r="J25" s="5">
        <s:f>H25-I25</s:f>
        <s:v>63029.690240307114</s:v>
      </s:c>
      <s:c r="K25" s="5">
        <s:f>H25*Assumptions!$B$12+G25*Assumptions!$B$13</s:f>
        <s:v>2442.976136275408</s:v>
      </s:c>
      <s:c r="L25" s="5">
        <s:f>G25*(Assumptions!$B$14+Assumptions!$B$15)</s:f>
        <s:v>7549.370013212015</s:v>
      </s:c>
      <s:c r="M25" s="5">
        <s:f>E25*Assumptions!$B$16</s:f>
        <s:v>2100.0</s:v>
      </s:c>
      <s:c r="N25" s="5">
        <s:f>SUM(K25:M25)</s:f>
        <s:v>12092.346149487423</s:v>
      </s:c>
      <s:c r="O25" s="5">
        <s:f>J25-N25</s:f>
        <s:v>50937.34409081969</s:v>
      </s:c>
      <s:c r="P25" s="5">
        <s:f>INDEX(Assumptions!$B$30:$D$30,1,B25)</s:f>
        <s:v>15500.0</s:v>
      </s:c>
      <s:c r="Q25" s="5">
        <s:f>Acquisition!C25</s:f>
        <s:v>0</s:v>
      </s:c>
      <s:c r="R25" s="5">
        <s:f>O25-P25-Q25</s:f>
        <s:v>35437.34409081969</s:v>
      </s:c>
      <s:c r="S25" s="5">
        <s:f>MAX(SUM(R14:R25),0)*Assumptions!$B$17</s:f>
        <s:v>55795.96129298661</s:v>
      </s:c>
      <s:c r="T25" s="5">
        <s:f>R25-S25</s:f>
        <s:v>-20358.61720216692</s:v>
      </s:c>
      <s:c r="U25" s="5">
        <s:f>U24+T25</s:f>
        <s:v>264991.29690985347</s:v>
      </s:c>
      <s:c r="V25" s="5">
        <s:f>F25*Assumptions!$B$9</s:f>
        <s:v>65880.103778088</s:v>
      </s:c>
      <s:c r="W25" s="5">
        <s:f>V25*12</s:f>
        <s:v>790561.245337056</s:v>
      </s:c>
    </s:row>
    <s:row r="26">
      <s:c r="A26" s="2" t="n">
        <s:v>25</s:v>
      </s:c>
      <s:c r="B26" s="4">
        <s:f>INT((A26-1)/12)+1</s:f>
        <s:v>3</s:v>
      </s:c>
      <s:c r="C26" s="5">
        <s:f>F25</s:f>
        <s:v>520.7913342141344</s:v>
      </s:c>
      <s:c r="D26" s="5">
        <s:f>C26*Assumptions!$B$23</s:f>
        <s:v>7.811870013212015</s:v>
      </s:c>
      <s:c r="E26" s="5">
        <s:f>Acquisition!B26*Assumptions!$B$22</s:f>
        <s:v>56.0</s:v>
      </s:c>
      <s:c r="F26" s="5">
        <s:f>C26-D26+E26</s:f>
        <s:v>568.9794642009224</s:v>
      </s:c>
      <s:c r="G26" s="5">
        <s:f>C26-D26+E26/2</s:f>
        <s:v>540.9794642009224</s:v>
      </s:c>
      <s:c r="H26" s="5">
        <s:f>G26*Assumptions!$B$9</s:f>
        <s:v>68433.90222141668</s:v>
      </s:c>
      <s:c r="I26" s="5">
        <s:f>H26*Assumptions!$B$11</s:f>
        <s:v>684.3390222141668</s:v>
      </s:c>
      <s:c r="J26" s="5">
        <s:f>H26-I26</s:f>
        <s:v>67749.56319920252</s:v>
      </s:c>
      <s:c r="K26" s="5">
        <s:f>H26*Assumptions!$B$12+G26*Assumptions!$B$13</s:f>
        <s:v>2625.914319231277</s:v>
      </s:c>
      <s:c r="L26" s="5">
        <s:f>G26*(Assumptions!$B$14+Assumptions!$B$15)</s:f>
        <s:v>8114.691963013836</s:v>
      </s:c>
      <s:c r="M26" s="5">
        <s:f>E26*Assumptions!$B$16</s:f>
        <s:v>3360.0</s:v>
      </s:c>
      <s:c r="N26" s="5">
        <s:f>SUM(K26:M26)</s:f>
        <s:v>14100.606282245113</s:v>
      </s:c>
      <s:c r="O26" s="5">
        <s:f>J26-N26</s:f>
        <s:v>53648.9569169574</s:v>
      </s:c>
      <s:c r="P26" s="5">
        <s:f>INDEX(Assumptions!$B$30:$D$30,1,B26)</s:f>
        <s:v>22000.0</s:v>
      </s:c>
      <s:c r="Q26" s="5">
        <s:f>Acquisition!C26</s:f>
        <s:v>0</s:v>
      </s:c>
      <s:c r="R26" s="5">
        <s:f>O26-P26-Q26</s:f>
        <s:v>31648.956916957402</s:v>
      </s:c>
      <s:c r="S26" s="5">
        <s:f>0</s:f>
        <s:v>0</s:v>
      </s:c>
      <s:c r="T26" s="5">
        <s:f>R26-S26</s:f>
        <s:v>31648.956916957402</s:v>
      </s:c>
      <s:c r="U26" s="5">
        <s:f>U25+T26</s:f>
        <s:v>296640.25382681086</s:v>
      </s:c>
      <s:c r="V26" s="5">
        <s:f>F26*Assumptions!$B$9</s:f>
        <s:v>71975.90222141668</s:v>
      </s:c>
      <s:c r="W26" s="5">
        <s:f>V26*12</s:f>
        <s:v>863710.8266570001</s:v>
      </s:c>
    </s:row>
    <s:row r="27">
      <s:c r="A27" s="2" t="n">
        <s:v>26</s:v>
      </s:c>
      <s:c r="B27" s="4">
        <s:f>INT((A27-1)/12)+1</s:f>
        <s:v>3</s:v>
      </s:c>
      <s:c r="C27" s="5">
        <s:f>F26</s:f>
        <s:v>568.9794642009224</s:v>
      </s:c>
      <s:c r="D27" s="5">
        <s:f>C27*Assumptions!$B$23</s:f>
        <s:v>8.534691963013836</s:v>
      </s:c>
      <s:c r="E27" s="5">
        <s:f>Acquisition!B27*Assumptions!$B$22</s:f>
        <s:v>56.0</s:v>
      </s:c>
      <s:c r="F27" s="5">
        <s:f>C27-D27+E27</s:f>
        <s:v>616.4447722379085</s:v>
      </s:c>
      <s:c r="G27" s="5">
        <s:f>C27-D27+E27/2</s:f>
        <s:v>588.4447722379085</s:v>
      </s:c>
      <s:c r="H27" s="5">
        <s:f>G27*Assumptions!$B$9</s:f>
        <s:v>74438.26368809542</s:v>
      </s:c>
      <s:c r="I27" s="5">
        <s:f>H27*Assumptions!$B$11</s:f>
        <s:v>744.3826368809542</s:v>
      </s:c>
      <s:c r="J27" s="5">
        <s:f>H27-I27</s:f>
        <s:v>73693.88105121447</s:v>
      </s:c>
      <s:c r="K27" s="5">
        <s:f>H27*Assumptions!$B$12+G27*Assumptions!$B$13</s:f>
        <s:v>2856.3109244428074</s:v>
      </s:c>
      <s:c r="L27" s="5">
        <s:f>G27*(Assumptions!$B$14+Assumptions!$B$15)</s:f>
        <s:v>8826.671583568628</s:v>
      </s:c>
      <s:c r="M27" s="5">
        <s:f>E27*Assumptions!$B$16</s:f>
        <s:v>3360.0</s:v>
      </s:c>
      <s:c r="N27" s="5">
        <s:f>SUM(K27:M27)</s:f>
        <s:v>15042.982508011435</s:v>
      </s:c>
      <s:c r="O27" s="5">
        <s:f>J27-N27</s:f>
        <s:v>58650.89854320303</s:v>
      </s:c>
      <s:c r="P27" s="5">
        <s:f>INDEX(Assumptions!$B$30:$D$30,1,B27)</s:f>
        <s:v>22000.0</s:v>
      </s:c>
      <s:c r="Q27" s="5">
        <s:f>Acquisition!C27</s:f>
        <s:v>0</s:v>
      </s:c>
      <s:c r="R27" s="5">
        <s:f>O27-P27-Q27</s:f>
        <s:v>36650.89854320303</s:v>
      </s:c>
      <s:c r="S27" s="5">
        <s:f>0</s:f>
        <s:v>0</s:v>
      </s:c>
      <s:c r="T27" s="5">
        <s:f>R27-S27</s:f>
        <s:v>36650.89854320303</s:v>
      </s:c>
      <s:c r="U27" s="5">
        <s:f>U26+T27</s:f>
        <s:v>333291.1523700139</s:v>
      </s:c>
      <s:c r="V27" s="5">
        <s:f>F27*Assumptions!$B$9</s:f>
        <s:v>77980.26368809542</s:v>
      </s:c>
      <s:c r="W27" s="5">
        <s:f>V27*12</s:f>
        <s:v>935763.164257145</s:v>
      </s:c>
    </s:row>
    <s:row r="28">
      <s:c r="A28" s="2" t="n">
        <s:v>27</s:v>
      </s:c>
      <s:c r="B28" s="4">
        <s:f>INT((A28-1)/12)+1</s:f>
        <s:v>3</s:v>
      </s:c>
      <s:c r="C28" s="5">
        <s:f>F27</s:f>
        <s:v>616.4447722379085</s:v>
      </s:c>
      <s:c r="D28" s="5">
        <s:f>C28*Assumptions!$B$23</s:f>
        <s:v>9.246671583568627</s:v>
      </s:c>
      <s:c r="E28" s="5">
        <s:f>Acquisition!B28*Assumptions!$B$22</s:f>
        <s:v>56.0</s:v>
      </s:c>
      <s:c r="F28" s="5">
        <s:f>C28-D28+E28</s:f>
        <s:v>663.1981006543399</s:v>
      </s:c>
      <s:c r="G28" s="5">
        <s:f>C28-D28+E28/2</s:f>
        <s:v>635.1981006543399</s:v>
      </s:c>
      <s:c r="H28" s="5">
        <s:f>G28*Assumptions!$B$9</s:f>
        <s:v>80352.559732774</s:v>
      </s:c>
      <s:c r="I28" s="5">
        <s:f>H28*Assumptions!$B$11</s:f>
        <s:v>803.52559732774</s:v>
      </s:c>
      <s:c r="J28" s="5">
        <s:f>H28-I28</s:f>
        <s:v>79549.03413544626</s:v>
      </s:c>
      <s:c r="K28" s="5">
        <s:f>H28*Assumptions!$B$12+G28*Assumptions!$B$13</s:f>
        <s:v>3083.2515805761655</s:v>
      </s:c>
      <s:c r="L28" s="5">
        <s:f>G28*(Assumptions!$B$14+Assumptions!$B$15)</s:f>
        <s:v>9527.9715098151</s:v>
      </s:c>
      <s:c r="M28" s="5">
        <s:f>E28*Assumptions!$B$16</s:f>
        <s:v>3360.0</s:v>
      </s:c>
      <s:c r="N28" s="5">
        <s:f>SUM(K28:M28)</s:f>
        <s:v>15971.223090391264</s:v>
      </s:c>
      <s:c r="O28" s="5">
        <s:f>J28-N28</s:f>
        <s:v>63577.811045054994</s:v>
      </s:c>
      <s:c r="P28" s="5">
        <s:f>INDEX(Assumptions!$B$30:$D$30,1,B28)</s:f>
        <s:v>22000.0</s:v>
      </s:c>
      <s:c r="Q28" s="5">
        <s:f>Acquisition!C28</s:f>
        <s:v>0</s:v>
      </s:c>
      <s:c r="R28" s="5">
        <s:f>O28-P28-Q28</s:f>
        <s:v>41577.811045054994</s:v>
      </s:c>
      <s:c r="S28" s="5">
        <s:f>0</s:f>
        <s:v>0</s:v>
      </s:c>
      <s:c r="T28" s="5">
        <s:f>R28-S28</s:f>
        <s:v>41577.811045054994</s:v>
      </s:c>
      <s:c r="U28" s="5">
        <s:f>U27+T28</s:f>
        <s:v>374868.96341506887</s:v>
      </s:c>
      <s:c r="V28" s="5">
        <s:f>F28*Assumptions!$B$9</s:f>
        <s:v>83894.559732774</s:v>
      </s:c>
      <s:c r="W28" s="5">
        <s:f>V28*12</s:f>
        <s:v>1006734.716793288</s:v>
      </s:c>
    </s:row>
    <s:row r="29">
      <s:c r="A29" s="2" t="n">
        <s:v>28</s:v>
      </s:c>
      <s:c r="B29" s="4">
        <s:f>INT((A29-1)/12)+1</s:f>
        <s:v>3</s:v>
      </s:c>
      <s:c r="C29" s="5">
        <s:f>F28</s:f>
        <s:v>663.1981006543399</s:v>
      </s:c>
      <s:c r="D29" s="5">
        <s:f>C29*Assumptions!$B$23</s:f>
        <s:v>9.947971509815098</s:v>
      </s:c>
      <s:c r="E29" s="5">
        <s:f>Acquisition!B29*Assumptions!$B$22</s:f>
        <s:v>56.0</s:v>
      </s:c>
      <s:c r="F29" s="5">
        <s:f>C29-D29+E29</s:f>
        <s:v>709.2501291445247</s:v>
      </s:c>
      <s:c r="G29" s="5">
        <s:f>C29-D29+E29/2</s:f>
        <s:v>681.2501291445247</s:v>
      </s:c>
      <s:c r="H29" s="5">
        <s:f>G29*Assumptions!$B$9</s:f>
        <s:v>86178.14133678238</s:v>
      </s:c>
      <s:c r="I29" s="5">
        <s:f>H29*Assumptions!$B$11</s:f>
        <s:v>861.7814133678239</s:v>
      </s:c>
      <s:c r="J29" s="5">
        <s:f>H29-I29</s:f>
        <s:v>85316.35992341457</s:v>
      </s:c>
      <s:c r="K29" s="5">
        <s:f>H29*Assumptions!$B$12+G29*Assumptions!$B$13</s:f>
        <s:v>3306.7881268675233</s:v>
      </s:c>
      <s:c r="L29" s="5">
        <s:f>G29*(Assumptions!$B$14+Assumptions!$B$15)</s:f>
        <s:v>10218.751937167872</s:v>
      </s:c>
      <s:c r="M29" s="5">
        <s:f>E29*Assumptions!$B$16</s:f>
        <s:v>3360.0</s:v>
      </s:c>
      <s:c r="N29" s="5">
        <s:f>SUM(K29:M29)</s:f>
        <s:v>16885.540064035395</s:v>
      </s:c>
      <s:c r="O29" s="5">
        <s:f>J29-N29</s:f>
        <s:v>68430.81985937917</s:v>
      </s:c>
      <s:c r="P29" s="5">
        <s:f>INDEX(Assumptions!$B$30:$D$30,1,B29)</s:f>
        <s:v>22000.0</s:v>
      </s:c>
      <s:c r="Q29" s="5">
        <s:f>Acquisition!C29</s:f>
        <s:v>0</s:v>
      </s:c>
      <s:c r="R29" s="5">
        <s:f>O29-P29-Q29</s:f>
        <s:v>46430.819859379175</s:v>
      </s:c>
      <s:c r="S29" s="5">
        <s:f>0</s:f>
        <s:v>0</s:v>
      </s:c>
      <s:c r="T29" s="5">
        <s:f>R29-S29</s:f>
        <s:v>46430.819859379175</s:v>
      </s:c>
      <s:c r="U29" s="5">
        <s:f>U28+T29</s:f>
        <s:v>421299.783274448</s:v>
      </s:c>
      <s:c r="V29" s="5">
        <s:f>F29*Assumptions!$B$9</s:f>
        <s:v>89720.14133678238</s:v>
      </s:c>
      <s:c r="W29" s="5">
        <s:f>V29*12</s:f>
        <s:v>1076641.6960413887</s:v>
      </s:c>
    </s:row>
    <s:row r="30">
      <s:c r="A30" s="2" t="n">
        <s:v>29</s:v>
      </s:c>
      <s:c r="B30" s="4">
        <s:f>INT((A30-1)/12)+1</s:f>
        <s:v>3</s:v>
      </s:c>
      <s:c r="C30" s="5">
        <s:f>F29</s:f>
        <s:v>709.2501291445247</s:v>
      </s:c>
      <s:c r="D30" s="5">
        <s:f>C30*Assumptions!$B$23</s:f>
        <s:v>10.638751937167871</s:v>
      </s:c>
      <s:c r="E30" s="5">
        <s:f>Acquisition!B30*Assumptions!$B$22</s:f>
        <s:v>56.0</s:v>
      </s:c>
      <s:c r="F30" s="5">
        <s:f>C30-D30+E30</s:f>
        <s:v>754.6113772073569</s:v>
      </s:c>
      <s:c r="G30" s="5">
        <s:f>C30-D30+E30/2</s:f>
        <s:v>726.6113772073569</s:v>
      </s:c>
      <s:c r="H30" s="5">
        <s:f>G30*Assumptions!$B$9</s:f>
        <s:v>91916.33921673064</s:v>
      </s:c>
      <s:c r="I30" s="5">
        <s:f>H30*Assumptions!$B$11</s:f>
        <s:v>919.1633921673065</s:v>
      </s:c>
      <s:c r="J30" s="5">
        <s:f>H30-I30</s:f>
        <s:v>90997.17582456334</s:v>
      </s:c>
      <s:c r="K30" s="5">
        <s:f>H30*Assumptions!$B$12+G30*Assumptions!$B$13</s:f>
        <s:v>3526.97162496451</s:v>
      </s:c>
      <s:c r="L30" s="5">
        <s:f>G30*(Assumptions!$B$14+Assumptions!$B$15)</s:f>
        <s:v>10899.170658110354</s:v>
      </s:c>
      <s:c r="M30" s="5">
        <s:f>E30*Assumptions!$B$16</s:f>
        <s:v>3360.0</s:v>
      </s:c>
      <s:c r="N30" s="5">
        <s:f>SUM(K30:M30)</s:f>
        <s:v>17786.142283074863</s:v>
      </s:c>
      <s:c r="O30" s="5">
        <s:f>J30-N30</s:f>
        <s:v>73211.03354148848</s:v>
      </s:c>
      <s:c r="P30" s="5">
        <s:f>INDEX(Assumptions!$B$30:$D$30,1,B30)</s:f>
        <s:v>22000.0</s:v>
      </s:c>
      <s:c r="Q30" s="5">
        <s:f>Acquisition!C30</s:f>
        <s:v>0</s:v>
      </s:c>
      <s:c r="R30" s="5">
        <s:f>O30-P30-Q30</s:f>
        <s:v>51211.033541488476</s:v>
      </s:c>
      <s:c r="S30" s="5">
        <s:f>0</s:f>
        <s:v>0</s:v>
      </s:c>
      <s:c r="T30" s="5">
        <s:f>R30-S30</s:f>
        <s:v>51211.033541488476</s:v>
      </s:c>
      <s:c r="U30" s="5">
        <s:f>U29+T30</s:f>
        <s:v>472510.8168159365</s:v>
      </s:c>
      <s:c r="V30" s="5">
        <s:f>F30*Assumptions!$B$9</s:f>
        <s:v>95458.33921673064</s:v>
      </s:c>
      <s:c r="W30" s="5">
        <s:f>V30*12</s:f>
        <s:v>1145500.0706007676</s:v>
      </s:c>
    </s:row>
    <s:row r="31">
      <s:c r="A31" s="2" t="n">
        <s:v>30</s:v>
      </s:c>
      <s:c r="B31" s="4">
        <s:f>INT((A31-1)/12)+1</s:f>
        <s:v>3</s:v>
      </s:c>
      <s:c r="C31" s="5">
        <s:f>F30</s:f>
        <s:v>754.6113772073569</s:v>
      </s:c>
      <s:c r="D31" s="5">
        <s:f>C31*Assumptions!$B$23</s:f>
        <s:v>11.319170658110354</s:v>
      </s:c>
      <s:c r="E31" s="5">
        <s:f>Acquisition!B31*Assumptions!$B$22</s:f>
        <s:v>56.0</s:v>
      </s:c>
      <s:c r="F31" s="5">
        <s:f>C31-D31+E31</s:f>
        <s:v>799.2922065492465</s:v>
      </s:c>
      <s:c r="G31" s="5">
        <s:f>C31-D31+E31/2</s:f>
        <s:v>771.2922065492465</s:v>
      </s:c>
      <s:c r="H31" s="5">
        <s:f>G31*Assumptions!$B$9</s:f>
        <s:v>97568.46412847968</s:v>
      </s:c>
      <s:c r="I31" s="5">
        <s:f>H31*Assumptions!$B$11</s:f>
        <s:v>975.6846412847968</s:v>
      </s:c>
      <s:c r="J31" s="5">
        <s:f>H31-I31</s:f>
        <s:v>96592.77948719489</s:v>
      </s:c>
      <s:c r="K31" s="5">
        <s:f>H31*Assumptions!$B$12+G31*Assumptions!$B$13</s:f>
        <s:v>3743.8523705900425</s:v>
      </s:c>
      <s:c r="L31" s="5">
        <s:f>G31*(Assumptions!$B$14+Assumptions!$B$15)</s:f>
        <s:v>11569.383098238699</s:v>
      </s:c>
      <s:c r="M31" s="5">
        <s:f>E31*Assumptions!$B$16</s:f>
        <s:v>3360.0</s:v>
      </s:c>
      <s:c r="N31" s="5">
        <s:f>SUM(K31:M31)</s:f>
        <s:v>18673.23546882874</s:v>
      </s:c>
      <s:c r="O31" s="5">
        <s:f>J31-N31</s:f>
        <s:v>77919.54401836614</s:v>
      </s:c>
      <s:c r="P31" s="5">
        <s:f>INDEX(Assumptions!$B$30:$D$30,1,B31)</s:f>
        <s:v>22000.0</s:v>
      </s:c>
      <s:c r="Q31" s="5">
        <s:f>Acquisition!C31</s:f>
        <s:v>0</s:v>
      </s:c>
      <s:c r="R31" s="5">
        <s:f>O31-P31-Q31</s:f>
        <s:v>55919.54401836614</s:v>
      </s:c>
      <s:c r="S31" s="5">
        <s:f>0</s:f>
        <s:v>0</s:v>
      </s:c>
      <s:c r="T31" s="5">
        <s:f>R31-S31</s:f>
        <s:v>55919.54401836614</s:v>
      </s:c>
      <s:c r="U31" s="5">
        <s:f>U30+T31</s:f>
        <s:v>528430.3608343026</s:v>
      </s:c>
      <s:c r="V31" s="5">
        <s:f>F31*Assumptions!$B$9</s:f>
        <s:v>101110.46412847968</s:v>
      </s:c>
      <s:c r="W31" s="5">
        <s:f>V31*12</s:f>
        <s:v>1213325.569541756</s:v>
      </s:c>
    </s:row>
    <s:row r="32">
      <s:c r="A32" s="2" t="n">
        <s:v>31</s:v>
      </s:c>
      <s:c r="B32" s="4">
        <s:f>INT((A32-1)/12)+1</s:f>
        <s:v>3</s:v>
      </s:c>
      <s:c r="C32" s="5">
        <s:f>F31</s:f>
        <s:v>799.2922065492465</s:v>
      </s:c>
      <s:c r="D32" s="5">
        <s:f>C32*Assumptions!$B$23</s:f>
        <s:v>11.989383098238697</s:v>
      </s:c>
      <s:c r="E32" s="5">
        <s:f>Acquisition!B32*Assumptions!$B$22</s:f>
        <s:v>56.0</s:v>
      </s:c>
      <s:c r="F32" s="5">
        <s:f>C32-D32+E32</s:f>
        <s:v>843.3028234510078</s:v>
      </s:c>
      <s:c r="G32" s="5">
        <s:f>C32-D32+E32/2</s:f>
        <s:v>815.3028234510078</s:v>
      </s:c>
      <s:c r="H32" s="5">
        <s:f>G32*Assumptions!$B$9</s:f>
        <s:v>103135.80716655249</s:v>
      </s:c>
      <s:c r="I32" s="5">
        <s:f>H32*Assumptions!$B$11</s:f>
        <s:v>1031.358071665525</s:v>
      </s:c>
      <s:c r="J32" s="5">
        <s:f>H32-I32</s:f>
        <s:v>102104.44909488696</s:v>
      </s:c>
      <s:c r="K32" s="5">
        <s:f>H32*Assumptions!$B$12+G32*Assumptions!$B$13</s:f>
        <s:v>3957.4799050311917</s:v>
      </s:c>
      <s:c r="L32" s="5">
        <s:f>G32*(Assumptions!$B$14+Assumptions!$B$15)</s:f>
        <s:v>12229.542351765118</s:v>
      </s:c>
      <s:c r="M32" s="5">
        <s:f>E32*Assumptions!$B$16</s:f>
        <s:v>3360.0</s:v>
      </s:c>
      <s:c r="N32" s="5">
        <s:f>SUM(K32:M32)</s:f>
        <s:v>19547.02225679631</s:v>
      </s:c>
      <s:c r="O32" s="5">
        <s:f>J32-N32</s:f>
        <s:v>82557.42683809066</s:v>
      </s:c>
      <s:c r="P32" s="5">
        <s:f>INDEX(Assumptions!$B$30:$D$30,1,B32)</s:f>
        <s:v>22000.0</s:v>
      </s:c>
      <s:c r="Q32" s="5">
        <s:f>Acquisition!C32</s:f>
        <s:v>0</s:v>
      </s:c>
      <s:c r="R32" s="5">
        <s:f>O32-P32-Q32</s:f>
        <s:v>60557.42683809066</s:v>
      </s:c>
      <s:c r="S32" s="5">
        <s:f>0</s:f>
        <s:v>0</s:v>
      </s:c>
      <s:c r="T32" s="5">
        <s:f>R32-S32</s:f>
        <s:v>60557.42683809066</s:v>
      </s:c>
      <s:c r="U32" s="5">
        <s:f>U31+T32</s:f>
        <s:v>588987.7876723933</s:v>
      </s:c>
      <s:c r="V32" s="5">
        <s:f>F32*Assumptions!$B$9</s:f>
        <s:v>106677.80716655249</s:v>
      </s:c>
      <s:c r="W32" s="5">
        <s:f>V32*12</s:f>
        <s:v>1280133.6859986298</s:v>
      </s:c>
    </s:row>
    <s:row r="33">
      <s:c r="A33" s="2" t="n">
        <s:v>32</s:v>
      </s:c>
      <s:c r="B33" s="4">
        <s:f>INT((A33-1)/12)+1</s:f>
        <s:v>3</s:v>
      </s:c>
      <s:c r="C33" s="5">
        <s:f>F32</s:f>
        <s:v>843.3028234510078</s:v>
      </s:c>
      <s:c r="D33" s="5">
        <s:f>C33*Assumptions!$B$23</s:f>
        <s:v>12.649542351765117</s:v>
      </s:c>
      <s:c r="E33" s="5">
        <s:f>Acquisition!B33*Assumptions!$B$22</s:f>
        <s:v>56.0</s:v>
      </s:c>
      <s:c r="F33" s="5">
        <s:f>C33-D33+E33</s:f>
        <s:v>886.6532810992427</s:v>
      </s:c>
      <s:c r="G33" s="5">
        <s:f>C33-D33+E33/2</s:f>
        <s:v>858.6532810992427</s:v>
      </s:c>
      <s:c r="H33" s="5">
        <s:f>G33*Assumptions!$B$9</s:f>
        <s:v>108619.6400590542</s:v>
      </s:c>
      <s:c r="I33" s="5">
        <s:f>H33*Assumptions!$B$11</s:f>
        <s:v>1086.196400590542</s:v>
      </s:c>
      <s:c r="J33" s="5">
        <s:f>H33-I33</s:f>
        <s:v>107533.44365846366</s:v>
      </s:c>
      <s:c r="K33" s="5">
        <s:f>H33*Assumptions!$B$12+G33*Assumptions!$B$13</s:f>
        <s:v>4167.903026455724</s:v>
      </s:c>
      <s:c r="L33" s="5">
        <s:f>G33*(Assumptions!$B$14+Assumptions!$B$15)</s:f>
        <s:v>12879.79921648864</s:v>
      </s:c>
      <s:c r="M33" s="5">
        <s:f>E33*Assumptions!$B$16</s:f>
        <s:v>3360.0</s:v>
      </s:c>
      <s:c r="N33" s="5">
        <s:f>SUM(K33:M33)</s:f>
        <s:v>20407.702242944364</s:v>
      </s:c>
      <s:c r="O33" s="5">
        <s:f>J33-N33</s:f>
        <s:v>87125.7414155193</s:v>
      </s:c>
      <s:c r="P33" s="5">
        <s:f>INDEX(Assumptions!$B$30:$D$30,1,B33)</s:f>
        <s:v>22000.0</s:v>
      </s:c>
      <s:c r="Q33" s="5">
        <s:f>Acquisition!C33</s:f>
        <s:v>0</s:v>
      </s:c>
      <s:c r="R33" s="5">
        <s:f>O33-P33-Q33</s:f>
        <s:v>65125.7414155193</s:v>
      </s:c>
      <s:c r="S33" s="5">
        <s:f>0</s:f>
        <s:v>0</s:v>
      </s:c>
      <s:c r="T33" s="5">
        <s:f>R33-S33</s:f>
        <s:v>65125.7414155193</s:v>
      </s:c>
      <s:c r="U33" s="5">
        <s:f>U32+T33</s:f>
        <s:v>654113.5290879125</s:v>
      </s:c>
      <s:c r="V33" s="5">
        <s:f>F33*Assumptions!$B$9</s:f>
        <s:v>112161.6400590542</s:v>
      </s:c>
      <s:c r="W33" s="5">
        <s:f>V33*12</s:f>
        <s:v>1345939.6807086505</s:v>
      </s:c>
    </s:row>
    <s:row r="34">
      <s:c r="A34" s="2" t="n">
        <s:v>33</s:v>
      </s:c>
      <s:c r="B34" s="4">
        <s:f>INT((A34-1)/12)+1</s:f>
        <s:v>3</s:v>
      </s:c>
      <s:c r="C34" s="5">
        <s:f>F33</s:f>
        <s:v>886.6532810992427</s:v>
      </s:c>
      <s:c r="D34" s="5">
        <s:f>C34*Assumptions!$B$23</s:f>
        <s:v>13.29979921648864</s:v>
      </s:c>
      <s:c r="E34" s="5">
        <s:f>Acquisition!B34*Assumptions!$B$22</s:f>
        <s:v>56.0</s:v>
      </s:c>
      <s:c r="F34" s="5">
        <s:f>C34-D34+E34</s:f>
        <s:v>929.3534818827541</s:v>
      </s:c>
      <s:c r="G34" s="5">
        <s:f>C34-D34+E34/2</s:f>
        <s:v>901.3534818827541</s:v>
      </s:c>
      <s:c r="H34" s="5">
        <s:f>G34*Assumptions!$B$9</s:f>
        <s:v>114021.21545816839</s:v>
      </s:c>
      <s:c r="I34" s="5">
        <s:f>H34*Assumptions!$B$11</s:f>
        <s:v>1140.212154581684</s:v>
      </s:c>
      <s:c r="J34" s="5">
        <s:f>H34-I34</s:f>
        <s:v>112881.00330358671</s:v>
      </s:c>
      <s:c r="K34" s="5">
        <s:f>H34*Assumptions!$B$12+G34*Assumptions!$B$13</s:f>
        <s:v>4375.169801058888</s:v>
      </s:c>
      <s:c r="L34" s="5">
        <s:f>G34*(Assumptions!$B$14+Assumptions!$B$15)</s:f>
        <s:v>13520.302228241311</s:v>
      </s:c>
      <s:c r="M34" s="5">
        <s:f>E34*Assumptions!$B$16</s:f>
        <s:v>3360.0</s:v>
      </s:c>
      <s:c r="N34" s="5">
        <s:f>SUM(K34:M34)</s:f>
        <s:v>21255.4720293002</s:v>
      </s:c>
      <s:c r="O34" s="5">
        <s:f>J34-N34</s:f>
        <s:v>91625.5312742865</s:v>
      </s:c>
      <s:c r="P34" s="5">
        <s:f>INDEX(Assumptions!$B$30:$D$30,1,B34)</s:f>
        <s:v>22000.0</s:v>
      </s:c>
      <s:c r="Q34" s="5">
        <s:f>Acquisition!C34</s:f>
        <s:v>0</s:v>
      </s:c>
      <s:c r="R34" s="5">
        <s:f>O34-P34-Q34</s:f>
        <s:v>69625.5312742865</s:v>
      </s:c>
      <s:c r="S34" s="5">
        <s:f>0</s:f>
        <s:v>0</s:v>
      </s:c>
      <s:c r="T34" s="5">
        <s:f>R34-S34</s:f>
        <s:v>69625.5312742865</s:v>
      </s:c>
      <s:c r="U34" s="5">
        <s:f>U33+T34</s:f>
        <s:v>723739.0603621991</s:v>
      </s:c>
      <s:c r="V34" s="5">
        <s:f>F34*Assumptions!$B$9</s:f>
        <s:v>117563.21545816839</s:v>
      </s:c>
      <s:c r="W34" s="5">
        <s:f>V34*12</s:f>
        <s:v>1410758.5854980205</s:v>
      </s:c>
    </s:row>
    <s:row r="35">
      <s:c r="A35" s="2" t="n">
        <s:v>34</s:v>
      </s:c>
      <s:c r="B35" s="4">
        <s:f>INT((A35-1)/12)+1</s:f>
        <s:v>3</s:v>
      </s:c>
      <s:c r="C35" s="5">
        <s:f>F34</s:f>
        <s:v>929.3534818827541</s:v>
      </s:c>
      <s:c r="D35" s="5">
        <s:f>C35*Assumptions!$B$23</s:f>
        <s:v>13.940302228241311</s:v>
      </s:c>
      <s:c r="E35" s="5">
        <s:f>Acquisition!B35*Assumptions!$B$22</s:f>
        <s:v>56.0</s:v>
      </s:c>
      <s:c r="F35" s="5">
        <s:f>C35-D35+E35</s:f>
        <s:v>971.4131796545128</s:v>
      </s:c>
      <s:c r="G35" s="5">
        <s:f>C35-D35+E35/2</s:f>
        <s:v>943.4131796545128</s:v>
      </s:c>
      <s:c r="H35" s="5">
        <s:f>G35*Assumptions!$B$9</s:f>
        <s:v>119341.76722629587</s:v>
      </s:c>
      <s:c r="I35" s="5">
        <s:f>H35*Assumptions!$B$11</s:f>
        <s:v>1193.4176722629586</s:v>
      </s:c>
      <s:c r="J35" s="5">
        <s:f>H35-I35</s:f>
        <s:v>118148.3495540329</s:v>
      </s:c>
      <s:c r="K35" s="5">
        <s:f>H35*Assumptions!$B$12+G35*Assumptions!$B$13</s:f>
        <s:v>4579.327574043005</s:v>
      </s:c>
      <s:c r="L35" s="5">
        <s:f>G35*(Assumptions!$B$14+Assumptions!$B$15)</s:f>
        <s:v>14151.19769481769</s:v>
      </s:c>
      <s:c r="M35" s="5">
        <s:f>E35*Assumptions!$B$16</s:f>
        <s:v>3360.0</s:v>
      </s:c>
      <s:c r="N35" s="5">
        <s:f>SUM(K35:M35)</s:f>
        <s:v>22090.525268860696</s:v>
      </s:c>
      <s:c r="O35" s="5">
        <s:f>J35-N35</s:f>
        <s:v>96057.8242851722</s:v>
      </s:c>
      <s:c r="P35" s="5">
        <s:f>INDEX(Assumptions!$B$30:$D$30,1,B35)</s:f>
        <s:v>22000.0</s:v>
      </s:c>
      <s:c r="Q35" s="5">
        <s:f>Acquisition!C35</s:f>
        <s:v>0</s:v>
      </s:c>
      <s:c r="R35" s="5">
        <s:f>O35-P35-Q35</s:f>
        <s:v>74057.8242851722</s:v>
      </s:c>
      <s:c r="S35" s="5">
        <s:f>0</s:f>
        <s:v>0</s:v>
      </s:c>
      <s:c r="T35" s="5">
        <s:f>R35-S35</s:f>
        <s:v>74057.8242851722</s:v>
      </s:c>
      <s:c r="U35" s="5">
        <s:f>U34+T35</s:f>
        <s:v>797796.8846473712</s:v>
      </s:c>
      <s:c r="V35" s="5">
        <s:f>F35*Assumptions!$B$9</s:f>
        <s:v>122883.76722629587</s:v>
      </s:c>
      <s:c r="W35" s="5">
        <s:f>V35*12</s:f>
        <s:v>1474605.2067155503</s:v>
      </s:c>
    </s:row>
    <s:row r="36">
      <s:c r="A36" s="2" t="n">
        <s:v>35</s:v>
      </s:c>
      <s:c r="B36" s="4">
        <s:f>INT((A36-1)/12)+1</s:f>
        <s:v>3</s:v>
      </s:c>
      <s:c r="C36" s="5">
        <s:f>F35</s:f>
        <s:v>971.4131796545128</s:v>
      </s:c>
      <s:c r="D36" s="5">
        <s:f>C36*Assumptions!$B$23</s:f>
        <s:v>14.571197694817691</s:v>
      </s:c>
      <s:c r="E36" s="5">
        <s:f>Acquisition!B36*Assumptions!$B$22</s:f>
        <s:v>56.0</s:v>
      </s:c>
      <s:c r="F36" s="5">
        <s:f>C36-D36+E36</s:f>
        <s:v>1012.8419819596951</s:v>
      </s:c>
      <s:c r="G36" s="5">
        <s:f>C36-D36+E36/2</s:f>
        <s:v>984.8419819596951</s:v>
      </s:c>
      <s:c r="H36" s="5">
        <s:f>G36*Assumptions!$B$9</s:f>
        <s:v>124582.51071790143</s:v>
      </s:c>
      <s:c r="I36" s="5">
        <s:f>H36*Assumptions!$B$11</s:f>
        <s:v>1245.8251071790144</s:v>
      </s:c>
      <s:c r="J36" s="5">
        <s:f>H36-I36</s:f>
        <s:v>123336.68561072242</s:v>
      </s:c>
      <s:c r="K36" s="5">
        <s:f>H36*Assumptions!$B$12+G36*Assumptions!$B$13</s:f>
        <s:v>4780.4229804323595</s:v>
      </s:c>
      <s:c r="L36" s="5">
        <s:f>G36*(Assumptions!$B$14+Assumptions!$B$15)</s:f>
        <s:v>14772.629729395427</s:v>
      </s:c>
      <s:c r="M36" s="5">
        <s:f>E36*Assumptions!$B$16</s:f>
        <s:v>3360.0</s:v>
      </s:c>
      <s:c r="N36" s="5">
        <s:f>SUM(K36:M36)</s:f>
        <s:v>22913.052709827785</s:v>
      </s:c>
      <s:c r="O36" s="5">
        <s:f>J36-N36</s:f>
        <s:v>100423.63290089463</s:v>
      </s:c>
      <s:c r="P36" s="5">
        <s:f>INDEX(Assumptions!$B$30:$D$30,1,B36)</s:f>
        <s:v>22000.0</s:v>
      </s:c>
      <s:c r="Q36" s="5">
        <s:f>Acquisition!C36</s:f>
        <s:v>0</s:v>
      </s:c>
      <s:c r="R36" s="5">
        <s:f>O36-P36-Q36</s:f>
        <s:v>78423.63290089463</s:v>
      </s:c>
      <s:c r="S36" s="5">
        <s:f>0</s:f>
        <s:v>0</s:v>
      </s:c>
      <s:c r="T36" s="5">
        <s:f>R36-S36</s:f>
        <s:v>78423.63290089463</s:v>
      </s:c>
      <s:c r="U36" s="5">
        <s:f>U35+T36</s:f>
        <s:v>876220.5175482659</s:v>
      </s:c>
      <s:c r="V36" s="5">
        <s:f>F36*Assumptions!$B$9</s:f>
        <s:v>128124.51071790143</s:v>
      </s:c>
      <s:c r="W36" s="5">
        <s:f>V36*12</s:f>
        <s:v>1537494.1286148173</s:v>
      </s:c>
    </s:row>
    <s:row r="37">
      <s:c r="A37" s="2" t="n">
        <s:v>36</s:v>
      </s:c>
      <s:c r="B37" s="4">
        <s:f>INT((A37-1)/12)+1</s:f>
        <s:v>3</s:v>
      </s:c>
      <s:c r="C37" s="5">
        <s:f>F36</s:f>
        <s:v>1012.8419819596951</s:v>
      </s:c>
      <s:c r="D37" s="5">
        <s:f>C37*Assumptions!$B$23</s:f>
        <s:v>15.192629729395426</s:v>
      </s:c>
      <s:c r="E37" s="5">
        <s:f>Acquisition!B37*Assumptions!$B$22</s:f>
        <s:v>56.0</s:v>
      </s:c>
      <s:c r="F37" s="5">
        <s:f>C37-D37+E37</s:f>
        <s:v>1053.6493522302997</s:v>
      </s:c>
      <s:c r="G37" s="5">
        <s:f>C37-D37+E37/2</s:f>
        <s:v>1025.6493522302997</s:v>
      </s:c>
      <s:c r="H37" s="5">
        <s:f>G37*Assumptions!$B$9</s:f>
        <s:v>129744.64305713291</s:v>
      </s:c>
      <s:c r="I37" s="5">
        <s:f>H37*Assumptions!$B$11</s:f>
        <s:v>1297.446430571329</s:v>
      </s:c>
      <s:c r="J37" s="5">
        <s:f>H37-I37</s:f>
        <s:v>128447.19662656158</s:v>
      </s:c>
      <s:c r="K37" s="5">
        <s:f>H37*Assumptions!$B$12+G37*Assumptions!$B$13</s:f>
        <s:v>4978.501955725875</s:v>
      </s:c>
      <s:c r="L37" s="5">
        <s:f>G37*(Assumptions!$B$14+Assumptions!$B$15)</s:f>
        <s:v>15384.740283454496</s:v>
      </s:c>
      <s:c r="M37" s="5">
        <s:f>E37*Assumptions!$B$16</s:f>
        <s:v>3360.0</s:v>
      </s:c>
      <s:c r="N37" s="5">
        <s:f>SUM(K37:M37)</s:f>
        <s:v>23723.24223918037</s:v>
      </s:c>
      <s:c r="O37" s="5">
        <s:f>J37-N37</s:f>
        <s:v>104723.9543873812</s:v>
      </s:c>
      <s:c r="P37" s="5">
        <s:f>INDEX(Assumptions!$B$30:$D$30,1,B37)</s:f>
        <s:v>22000.0</s:v>
      </s:c>
      <s:c r="Q37" s="5">
        <s:f>Acquisition!C37</s:f>
        <s:v>0</s:v>
      </s:c>
      <s:c r="R37" s="5">
        <s:f>O37-P37-Q37</s:f>
        <s:v>82723.9543873812</s:v>
      </s:c>
      <s:c r="S37" s="5">
        <s:f>MAX(SUM(R26:R37),0)*Assumptions!$B$17</s:f>
        <s:v>173488.29375644843</s:v>
      </s:c>
      <s:c r="T37" s="5">
        <s:f>R37-S37</s:f>
        <s:v>-90764.33936906722</s:v>
      </s:c>
      <s:c r="U37" s="5">
        <s:f>U36+T37</s:f>
        <s:v>785456.1781791986</s:v>
      </s:c>
      <s:c r="V37" s="5">
        <s:f>F37*Assumptions!$B$9</s:f>
        <s:v>133286.6430571329</s:v>
      </s:c>
      <s:c r="W37" s="5">
        <s:f>V37*12</s:f>
        <s:v>1599439.7166855948</s:v>
      </s:c>
    </s:row>
  </s:sheetData>
  <s:autoFilter ref="A1:W37"/>
  <s:pageMargins left="0.75" right="0.75" top="1" bottom="1" header="0.5" footer="0.5"/>
  <s:pageSetup orientation="landscape" paperSize="8" fitToHeight="0" fitToWidth="1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I1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9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</s:cols>
  <s:sheetData>
    <s:row r="1" ht="32" customHeight="1">
      <s:c r="A1" s="1" t="inlineStr">
        <s:is>
          <s:t>Case</s:t>
        </s:is>
      </s:c>
      <s:c r="B1" s="1" t="inlineStr">
        <s:is>
          <s:t>Year</s:t>
        </s:is>
      </s:c>
      <s:c r="C1" s="1" t="inlineStr">
        <s:is>
          <s:t>Ending paid</s:t>
        </s:is>
      </s:c>
      <s:c r="D1" s="1" t="inlineStr">
        <s:is>
          <s:t>Net revenue</s:t>
        </s:is>
      </s:c>
      <s:c r="E1" s="1" t="inlineStr">
        <s:is>
          <s:t>Gross profit</s:t>
        </s:is>
      </s:c>
      <s:c r="F1" s="1" t="inlineStr">
        <s:is>
          <s:t>Operating profit</s:t>
        </s:is>
      </s:c>
      <s:c r="G1" s="1" t="inlineStr">
        <s:is>
          <s:t>Net income</s:t>
        </s:is>
      </s:c>
      <s:c r="H1" s="1" t="inlineStr">
        <s:is>
          <s:t>Ending cash</s:t>
        </s:is>
      </s:c>
      <s:c r="I1" s="1" t="inlineStr">
        <s:is>
          <s:t>Exit ARR</s:t>
        </s:is>
      </s:c>
    </s:row>
    <s:row r="2">
      <s:c r="A2" t="inlineStr">
        <s:is>
          <s:t>Base</s:t>
        </s:is>
      </s:c>
      <s:c r="B2" s="2" t="n">
        <s:v>1</s:v>
      </s:c>
      <s:c r="C2" s="5">
        <s:f>Base!F13</s:f>
        <s:v>112.80311340460241</s:v>
      </s:c>
      <s:c r="D2" s="5">
        <s:f>SUM(Base!J2:J13)</s:f>
        <s:v>51677.902545956196</s:v>
      </s:c>
      <s:c r="E2" s="5">
        <s:f>SUM(Base!O2:O13)</s:f>
        <s:v>36285.200209170034</s:v>
      </s:c>
      <s:c r="F2" s="5">
        <s:f>SUM(Base!R2:R13)</s:f>
        <s:v>-92714.79979082996</s:v>
      </s:c>
      <s:c r="G2" s="5">
        <s:f>SUM(Base!T2:T13)</s:f>
        <s:v>-92714.79979082996</s:v>
      </s:c>
      <s:c r="H2" s="5">
        <s:f>Base!U13</s:f>
        <s:v>82285.20020917003</s:v>
      </s:c>
      <s:c r="I2" s="5">
        <s:f>Base!W13</s:f>
        <s:v>171235.12614818648</s:v>
      </s:c>
    </s:row>
    <s:row r="3">
      <s:c r="A3" t="inlineStr">
        <s:is>
          <s:t>Base</s:t>
        </s:is>
      </s:c>
      <s:c r="B3" s="2" t="n">
        <s:v>2</s:v>
      </s:c>
      <s:c r="C3" s="5">
        <s:f>Base!F25</s:f>
        <s:v>357.62258490944475</s:v>
      </s:c>
      <s:c r="D3" s="5">
        <s:f>SUM(Base!J14:J25)</s:f>
        <s:v>357401.390818463</s:v>
      </s:c>
      <s:c r="E3" s="5">
        <s:f>SUM(Base!O14:O25)</s:f>
        <s:v>282741.13439406274</s:v>
      </s:c>
      <s:c r="F3" s="5">
        <s:f>SUM(Base!R14:R25)</s:f>
        <s:v>96741.13439406276</s:v>
      </s:c>
      <s:c r="G3" s="5">
        <s:f>SUM(Base!T14:T25)</s:f>
        <s:v>72555.85079554707</s:v>
      </s:c>
      <s:c r="H3" s="5">
        <s:f>Base!U25</s:f>
        <s:v>154841.05100471707</s:v>
      </s:c>
      <s:c r="I3" s="5">
        <s:f>Base!W25</s:f>
        <s:v>542871.0838925372</s:v>
      </s:c>
    </s:row>
    <s:row r="4">
      <s:c r="A4" t="inlineStr">
        <s:is>
          <s:t>Base</s:t>
        </s:is>
      </s:c>
      <s:c r="B4" s="2" t="n">
        <s:v>3</s:v>
      </s:c>
      <s:c r="C4" s="5">
        <s:f>Base!F37</s:f>
        <s:v>711.1989756941098</s:v>
      </s:c>
      <s:c r="D4" s="5">
        <s:f>SUM(Base!J26:J37)</s:f>
        <s:v>805856.7743040414</s:v>
      </s:c>
      <s:c r="E4" s="5">
        <s:f>SUM(Base!O26:O37)</s:f>
        <s:v>649301.1117733396</s:v>
      </s:c>
      <s:c r="F4" s="5">
        <s:f>SUM(Base!R26:R37)</s:f>
        <s:v>385301.1117733396</s:v>
      </s:c>
      <s:c r="G4" s="5">
        <s:f>SUM(Base!T26:T37)</s:f>
        <s:v>288975.83383000473</s:v>
      </s:c>
      <s:c r="H4" s="5">
        <s:f>Base!U37</s:f>
        <s:v>443816.8848347217</s:v>
      </s:c>
      <s:c r="I4" s="5">
        <s:f>Base!W37</s:f>
        <s:v>1079600.0451036585</s:v>
      </s:c>
    </s:row>
    <s:row r="5">
      <s:c r="A5" t="inlineStr">
        <s:is>
          <s:t>Downside</s:t>
        </s:is>
      </s:c>
      <s:c r="B5" s="2" t="n">
        <s:v>1</s:v>
      </s:c>
      <s:c r="C5" s="5">
        <s:f>Downside!F13</s:f>
        <s:v>64.6701597649725</s:v>
      </s:c>
      <s:c r="D5" s="5">
        <s:f>SUM(Downside!J2:J13)</s:f>
        <s:v>26835.950645215442</s:v>
      </s:c>
      <s:c r="E5" s="5">
        <s:f>SUM(Downside!O2:O13)</s:f>
        <s:v>17897.257147335666</s:v>
      </s:c>
      <s:c r="F5" s="5">
        <s:f>SUM(Downside!R2:R13)</s:f>
        <s:v>-111102.74285266433</s:v>
      </s:c>
      <s:c r="G5" s="5">
        <s:f>SUM(Downside!T2:T13)</s:f>
        <s:v>-111102.74285266433</s:v>
      </s:c>
      <s:c r="H5" s="5">
        <s:f>Downside!U13</s:f>
        <s:v>63897.25714733567</s:v>
      </s:c>
      <s:c r="I5" s="5">
        <s:f>Downside!W13</s:f>
        <s:v>88352.37227090543</s:v>
      </s:c>
    </s:row>
    <s:row r="6">
      <s:c r="A6" t="inlineStr">
        <s:is>
          <s:t>Downside</s:t>
        </s:is>
      </s:c>
      <s:c r="B6" s="2" t="n">
        <s:v>2</s:v>
      </s:c>
      <s:c r="C6" s="5">
        <s:f>Downside!F25</s:f>
        <s:v>191.2640018806223</s:v>
      </s:c>
      <s:c r="D6" s="5">
        <s:f>SUM(Downside!J14:J25)</s:f>
        <s:v>176109.92296081624</s:v>
      </s:c>
      <s:c r="E6" s="5">
        <s:f>SUM(Downside!O14:O25)</s:f>
        <s:v>134999.91953128428</s:v>
      </s:c>
      <s:c r="F6" s="5">
        <s:f>SUM(Downside!R14:R25)</s:f>
        <s:v>-51000.08046871572</s:v>
      </s:c>
      <s:c r="G6" s="5">
        <s:f>SUM(Downside!T14:T25)</s:f>
        <s:v>-51000.08046871572</s:v>
      </s:c>
      <s:c r="H6" s="5">
        <s:f>Downside!U25</s:f>
        <s:v>12897.176678619959</s:v>
      </s:c>
      <s:c r="I6" s="5">
        <s:f>Downside!W25</s:f>
        <s:v>261304.87936930617</s:v>
      </s:c>
    </s:row>
    <s:row r="7">
      <s:c r="A7" t="inlineStr">
        <s:is>
          <s:t>Downside</s:t>
        </s:is>
      </s:c>
      <s:c r="B7" s="2" t="n">
        <s:v>3</s:v>
      </s:c>
      <s:c r="C7" s="5">
        <s:f>Downside!F37</s:f>
        <s:v>363.2731882486104</s:v>
      </s:c>
      <s:c r="D7" s="5">
        <s:f>SUM(Downside!J26:J37)</s:f>
        <s:v>376685.4885717302</s:v>
      </s:c>
      <s:c r="E7" s="5">
        <s:f>SUM(Downside!O26:O37)</s:f>
        <s:v>294574.73821699654</s:v>
      </s:c>
      <s:c r="F7" s="5">
        <s:f>SUM(Downside!R26:R37)</s:f>
        <s:v>30574.738216996524</s:v>
      </s:c>
      <s:c r="G7" s="5">
        <s:f>SUM(Downside!T26:T37)</s:f>
        <s:v>22931.053662747392</s:v>
      </s:c>
      <s:c r="H7" s="5">
        <s:f>Downside!U37</s:f>
        <s:v>35828.23034136736</s:v>
      </s:c>
      <s:c r="I7" s="5">
        <s:f>Downside!W37</s:f>
        <s:v>496303.8297852515</s:v>
      </s:c>
    </s:row>
    <s:row r="8">
      <s:c r="A8" t="inlineStr">
        <s:is>
          <s:t>Upside</s:t>
        </s:is>
      </s:c>
      <s:c r="B8" s="2" t="n">
        <s:v>1</s:v>
      </s:c>
      <s:c r="C8" s="5">
        <s:f>Upside!F13</s:f>
        <s:v>160.36542428122038</s:v>
      </s:c>
      <s:c r="D8" s="5">
        <s:f>SUM(Upside!J2:J13)</s:f>
        <s:v>73304.69658594967</s:v>
      </s:c>
      <s:c r="E8" s="5">
        <s:f>SUM(Upside!O2:O13)</s:f>
        <s:v>51603.413030893615</s:v>
      </s:c>
      <s:c r="F8" s="5">
        <s:f>SUM(Upside!R2:R13)</s:f>
        <s:v>-77396.58696910639</s:v>
      </s:c>
      <s:c r="G8" s="5">
        <s:f>SUM(Upside!T2:T13)</s:f>
        <s:v>-77396.58696910639</s:v>
      </s:c>
      <s:c r="H8" s="5">
        <s:f>Upside!U13</s:f>
        <s:v>97603.41303089363</s:v>
      </s:c>
      <s:c r="I8" s="5">
        <s:f>Upside!W13</s:f>
        <s:v>243434.7140588925</s:v>
      </s:c>
    </s:row>
    <s:row r="9">
      <s:c r="A9" t="inlineStr">
        <s:is>
          <s:t>Upside</s:t>
        </s:is>
      </s:c>
      <s:c r="B9" s="2" t="n">
        <s:v>2</s:v>
      </s:c>
      <s:c r="C9" s="5">
        <s:f>Upside!F25</s:f>
        <s:v>520.7913342141344</s:v>
      </s:c>
      <s:c r="D9" s="5">
        <s:f>SUM(Upside!J14:J25)</s:f>
        <s:v>516222.6668005496</s:v>
      </s:c>
      <s:c r="E9" s="5">
        <s:f>SUM(Upside!O14:O25)</s:f>
        <s:v>409183.84517194645</s:v>
      </s:c>
      <s:c r="F9" s="5">
        <s:f>SUM(Upside!R14:R25)</s:f>
        <s:v>223183.84517194645</s:v>
      </s:c>
      <s:c r="G9" s="5">
        <s:f>SUM(Upside!T14:T25)</s:f>
        <s:v>167387.88387895984</s:v>
      </s:c>
      <s:c r="H9" s="5">
        <s:f>Upside!U25</s:f>
        <s:v>264991.29690985347</s:v>
      </s:c>
      <s:c r="I9" s="5">
        <s:f>Upside!W25</s:f>
        <s:v>790561.245337056</s:v>
      </s:c>
    </s:row>
    <s:row r="10">
      <s:c r="A10" t="inlineStr">
        <s:is>
          <s:t>Upside</s:t>
        </s:is>
      </s:c>
      <s:c r="B10" s="2" t="n">
        <s:v>3</s:v>
      </s:c>
      <s:c r="C10" s="5">
        <s:f>Upside!F37</s:f>
        <s:v>1053.6493522302997</s:v>
      </s:c>
      <s:c r="D10" s="5">
        <s:f>SUM(Upside!J26:J37)</s:f>
        <s:v>1186349.9214692903</s:v>
      </s:c>
      <s:c r="E10" s="5">
        <s:f>SUM(Upside!O26:O37)</s:f>
        <s:v>957953.1750257937</s:v>
      </s:c>
      <s:c r="F10" s="5">
        <s:f>SUM(Upside!R26:R37)</s:f>
        <s:v>693953.1750257937</s:v>
      </s:c>
      <s:c r="G10" s="5">
        <s:f>SUM(Upside!T26:T37)</s:f>
        <s:v>520464.8812693453</s:v>
      </s:c>
      <s:c r="H10" s="5">
        <s:f>Upside!U37</s:f>
        <s:v>785456.1781791986</s:v>
      </s:c>
      <s:c r="I10" s="5">
        <s:f>Upside!W37</s:f>
        <s:v>1599439.7166855948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2026-09-14T00:21:49Z</dcterms:created>
  <dcterms:modified xsi:type="dcterms:W3CDTF">2026-09-14T00:21:49Z</dcterms:modified>
</cp:coreProperties>
</file>